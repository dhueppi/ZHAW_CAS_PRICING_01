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6275" windowHeight="4875" firstSheet="2" activeTab="5"/>
  </bookViews>
  <sheets>
    <sheet name="Title Page" sheetId="2" r:id="rId1"/>
    <sheet name="Table 1. Utility score data." sheetId="1" r:id="rId2"/>
    <sheet name="ReWichtigkeiten" sheetId="3" r:id="rId3"/>
    <sheet name="Preisentscheidungen" sheetId="4" r:id="rId4"/>
    <sheet name="Promotional Items" sheetId="5" r:id="rId5"/>
    <sheet name="Sizes of packages" sheetId="7" r:id="rId6"/>
  </sheets>
  <calcPr calcId="145621"/>
</workbook>
</file>

<file path=xl/calcChain.xml><?xml version="1.0" encoding="utf-8"?>
<calcChain xmlns="http://schemas.openxmlformats.org/spreadsheetml/2006/main">
  <c r="B21" i="7" l="1"/>
  <c r="A18" i="7"/>
  <c r="B12" i="7"/>
  <c r="A9" i="7"/>
  <c r="E12" i="5"/>
  <c r="E13" i="5"/>
  <c r="E14" i="5"/>
  <c r="E11" i="5"/>
  <c r="C12" i="5"/>
  <c r="C13" i="5"/>
  <c r="C14" i="5"/>
  <c r="C11" i="5"/>
  <c r="B14" i="5"/>
  <c r="B13" i="5"/>
  <c r="B12" i="5"/>
  <c r="B11" i="5"/>
  <c r="B31" i="4"/>
  <c r="B29" i="4"/>
  <c r="B24" i="4"/>
  <c r="B22" i="4"/>
  <c r="C15" i="4"/>
  <c r="C14" i="4"/>
  <c r="B15" i="4"/>
  <c r="B14" i="4"/>
  <c r="C13" i="4"/>
  <c r="B13" i="4"/>
  <c r="C12" i="4"/>
  <c r="B12" i="4"/>
  <c r="D12" i="4" s="1"/>
  <c r="F21" i="3"/>
  <c r="D21" i="3"/>
  <c r="E18" i="3"/>
  <c r="E15" i="3"/>
  <c r="F15" i="3" s="1"/>
  <c r="D12" i="3"/>
  <c r="D10" i="3"/>
  <c r="E6" i="3"/>
  <c r="F10" i="3" s="1"/>
  <c r="D4" i="3"/>
  <c r="F5" i="3" s="1"/>
  <c r="E3" i="3"/>
  <c r="D13" i="4" l="1"/>
  <c r="D14" i="4"/>
  <c r="D15" i="4"/>
  <c r="F23" i="3"/>
  <c r="G5" i="3" s="1"/>
  <c r="H5" i="3" l="1"/>
  <c r="G23" i="3"/>
  <c r="G10" i="3"/>
  <c r="H10" i="3" s="1"/>
  <c r="G21" i="3"/>
  <c r="H21" i="3" s="1"/>
  <c r="G15" i="3"/>
  <c r="H15" i="3" s="1"/>
</calcChain>
</file>

<file path=xl/sharedStrings.xml><?xml version="1.0" encoding="utf-8"?>
<sst xmlns="http://schemas.openxmlformats.org/spreadsheetml/2006/main" count="116" uniqueCount="58">
  <si>
    <t>Utility</t>
  </si>
  <si>
    <t>Number of Games</t>
  </si>
  <si>
    <t>Ticket Price</t>
  </si>
  <si>
    <t>$15 per seat per game</t>
  </si>
  <si>
    <t>$25 per seat per game</t>
  </si>
  <si>
    <t>$35 per seat per game</t>
  </si>
  <si>
    <t>$60 per seat per game</t>
  </si>
  <si>
    <t>Ticket Location</t>
  </si>
  <si>
    <t>300 level, behind the baskets</t>
  </si>
  <si>
    <t>300 level, on the corners</t>
  </si>
  <si>
    <t>300 level, midcourt</t>
  </si>
  <si>
    <t>200 level, midcourt</t>
  </si>
  <si>
    <t>Promotional Item</t>
  </si>
  <si>
    <t>Priority for home playoff tickets</t>
  </si>
  <si>
    <t>Hot dog and soda with each ticket</t>
  </si>
  <si>
    <t>Trail Blazer apparel (hat, jersey, etc.)</t>
  </si>
  <si>
    <t>$20 gift certificate for popular local restaurant</t>
  </si>
  <si>
    <t>No promotional item</t>
  </si>
  <si>
    <t>This spreadsheet supports STUDENT analysis of the case “Portland Trail Blazers” (UVA-M-0773).</t>
  </si>
  <si>
    <r>
      <rPr>
        <sz val="10"/>
        <color indexed="8"/>
        <rFont val="Times New Roman"/>
        <family val="1"/>
      </rPr>
      <t xml:space="preserve">This spreadsheet was prepared by Ronald T. Wilcox, Professor of Business Administration. Copyright © 2012 by the University of Virginia Darden School Foundation, Charlottesville, VA. All rights reserved. </t>
    </r>
    <r>
      <rPr>
        <i/>
        <sz val="10"/>
        <color indexed="8"/>
        <rFont val="Times New Roman"/>
        <family val="1"/>
      </rPr>
      <t>For customer service inquiries, send an e-mail to</t>
    </r>
    <r>
      <rPr>
        <sz val="10"/>
        <color indexed="8"/>
        <rFont val="Times New Roman"/>
        <family val="1"/>
      </rPr>
      <t>sales@dardenbusinesspublishing.com</t>
    </r>
    <r>
      <rPr>
        <i/>
        <sz val="10"/>
        <color indexed="8"/>
        <rFont val="Times New Roman"/>
        <family val="1"/>
      </rPr>
      <t>. No part of this publication may be reproduced, stored in a retrieval system, posted to the Internet, or transmitted in any form or by any means—electronic, mechanical, photocopying, recording, or otherwise—without the permission of the Darden School Foundation.</t>
    </r>
  </si>
  <si>
    <t>10-game create-your-own pack, including any combination of teams.</t>
  </si>
  <si>
    <t>Data source: All data provided by the Portland Trail Blazers.</t>
  </si>
  <si>
    <t>3-game create-your-own pack, including one elite team and two very good teams</t>
  </si>
  <si>
    <t>6-game create-your-own pack, including two elite teams and four very good teams</t>
  </si>
  <si>
    <t>Rev. Jun. 20, 2014</t>
  </si>
  <si>
    <t>Min</t>
  </si>
  <si>
    <t>Max</t>
  </si>
  <si>
    <t>Spanne</t>
  </si>
  <si>
    <t>rel Wichtigkeit</t>
  </si>
  <si>
    <t xml:space="preserve"> </t>
  </si>
  <si>
    <t>300 level, behind the baskets: 15 Dollar</t>
  </si>
  <si>
    <t>300 level, on the corners: 25 Dollar</t>
  </si>
  <si>
    <t>300 level, midcourt: 35 Dollar</t>
  </si>
  <si>
    <t>200 level, midcourt: 60 Dollar</t>
  </si>
  <si>
    <t>Nutzen Sitzplatz</t>
  </si>
  <si>
    <t>Nutzen Preis</t>
  </si>
  <si>
    <t>Summe Nutzen</t>
  </si>
  <si>
    <t>Nutzenwerte</t>
  </si>
  <si>
    <t>Ausprägungen</t>
  </si>
  <si>
    <t>Frage: Um wie viel?</t>
  </si>
  <si>
    <t xml:space="preserve">Preisspanne 60 Dollar zu 15 Dollar </t>
  </si>
  <si>
    <t>45 Dollar</t>
  </si>
  <si>
    <t>Nutzenpanne 60 Dollar zu 15 Dollar</t>
  </si>
  <si>
    <t>1 Dollar entspricht</t>
  </si>
  <si>
    <t>Nutzeneinheiten</t>
  </si>
  <si>
    <t>300 level, midcourt: 35 Dollar an 200 level, midcourt: 60 Dollar anzunähern: Was wäre die Nutzenspanne?</t>
  </si>
  <si>
    <t>(Dollar) Dies wäre die Nutzenspanne wert</t>
  </si>
  <si>
    <t xml:space="preserve">300 level, midcourt: 35 Dollar: Hier könnten wir eindeutig den Preis erhöhen und den Nutzen an das Premiumpaket annähern </t>
  </si>
  <si>
    <t>Nutzenanstieg Trail Blazer apparel (hat, jersey, etc.) vs. No promotional item</t>
  </si>
  <si>
    <t>Nutzenanstieg Priority for home playoff tickets vs. No promotional item</t>
  </si>
  <si>
    <t>Nutzenanstieg $20 gift certificate for popular local restaurant vs. No promotional item</t>
  </si>
  <si>
    <t>Nutzenanstieg Hot dog and soda with each ticket vs. No promotional item</t>
  </si>
  <si>
    <t>Nutzen</t>
  </si>
  <si>
    <t>Wert in Dollar</t>
  </si>
  <si>
    <t>Kosten in Dollar</t>
  </si>
  <si>
    <t>Deckungsbeitrag</t>
  </si>
  <si>
    <t xml:space="preserve">Nutzenanstieg von </t>
  </si>
  <si>
    <t>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</si>
</sst>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arial"/>
      <family val="2"/>
    </font>
    <font>
      <i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Times New Roman"/>
      <family val="1"/>
    </font>
    <font>
      <sz val="8"/>
      <color indexed="8"/>
      <name val="Times New Roman"/>
      <family val="1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6"/>
      <color rgb="FF002C5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903B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4" fillId="0" borderId="0"/>
    <xf numFmtId="0" fontId="7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1" applyFont="1"/>
    <xf numFmtId="0" fontId="5" fillId="2" borderId="0" xfId="2" applyFont="1" applyFill="1" applyAlignment="1">
      <alignment horizontal="center" vertical="center" wrapText="1"/>
    </xf>
    <xf numFmtId="0" fontId="6" fillId="0" borderId="0" xfId="2" applyFont="1" applyFill="1" applyAlignment="1">
      <alignment horizontal="center" vertical="center" wrapText="1"/>
    </xf>
    <xf numFmtId="0" fontId="2" fillId="0" borderId="0" xfId="1" applyFont="1" applyBorder="1"/>
    <xf numFmtId="0" fontId="10" fillId="0" borderId="0" xfId="0" applyFont="1"/>
    <xf numFmtId="0" fontId="8" fillId="0" borderId="0" xfId="3" applyFont="1" applyBorder="1" applyAlignment="1">
      <alignment horizontal="justify" vertical="center" wrapText="1"/>
    </xf>
    <xf numFmtId="0" fontId="11" fillId="0" borderId="0" xfId="3" applyFont="1" applyBorder="1" applyAlignment="1">
      <alignment horizontal="justify" vertical="center" wrapText="1"/>
    </xf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9" fontId="0" fillId="0" borderId="0" xfId="5" applyFont="1"/>
    <xf numFmtId="9" fontId="0" fillId="0" borderId="1" xfId="5" applyFont="1" applyBorder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vertical="center" readingOrder="1"/>
    </xf>
    <xf numFmtId="0" fontId="13" fillId="3" borderId="0" xfId="0" applyFont="1" applyFill="1"/>
    <xf numFmtId="0" fontId="14" fillId="3" borderId="0" xfId="0" applyFont="1" applyFill="1" applyAlignment="1">
      <alignment horizontal="left" vertical="center" readingOrder="1"/>
    </xf>
    <xf numFmtId="0" fontId="13" fillId="0" borderId="0" xfId="0" applyFont="1" applyFill="1" applyBorder="1" applyAlignment="1">
      <alignment vertical="center"/>
    </xf>
    <xf numFmtId="43" fontId="13" fillId="0" borderId="0" xfId="4" applyFont="1"/>
  </cellXfs>
  <cellStyles count="6">
    <cellStyle name="Komma" xfId="4" builtinId="3"/>
    <cellStyle name="Normal 2" xfId="1"/>
    <cellStyle name="Normal 2 2" xfId="2"/>
    <cellStyle name="Normal 3" xfId="3"/>
    <cellStyle name="Prozent" xfId="5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95250</xdr:rowOff>
    </xdr:from>
    <xdr:to>
      <xdr:col>0</xdr:col>
      <xdr:colOff>1463421</xdr:colOff>
      <xdr:row>1</xdr:row>
      <xdr:rowOff>735330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85750"/>
          <a:ext cx="1377696" cy="640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B7"/>
  <sheetViews>
    <sheetView workbookViewId="0">
      <selection activeCell="A5" sqref="A5:B5"/>
    </sheetView>
  </sheetViews>
  <sheetFormatPr baseColWidth="10" defaultColWidth="9.140625" defaultRowHeight="15" x14ac:dyDescent="0.25"/>
  <cols>
    <col min="1" max="1" width="23.42578125" style="1" customWidth="1"/>
    <col min="2" max="2" width="100.28515625" style="1" customWidth="1"/>
    <col min="3" max="16384" width="9.140625" style="1"/>
  </cols>
  <sheetData>
    <row r="2" spans="1:2" ht="65.25" customHeight="1" x14ac:dyDescent="0.25">
      <c r="B2" s="2" t="s">
        <v>18</v>
      </c>
    </row>
    <row r="3" spans="1:2" ht="13.5" customHeight="1" x14ac:dyDescent="0.25">
      <c r="A3" s="3"/>
      <c r="B3" s="3"/>
    </row>
    <row r="4" spans="1:2" ht="54" customHeight="1" x14ac:dyDescent="0.25">
      <c r="A4" s="6" t="s">
        <v>19</v>
      </c>
      <c r="B4" s="6"/>
    </row>
    <row r="5" spans="1:2" x14ac:dyDescent="0.25">
      <c r="A5" s="7" t="s">
        <v>24</v>
      </c>
      <c r="B5" s="7"/>
    </row>
    <row r="6" spans="1:2" x14ac:dyDescent="0.25">
      <c r="A6" s="4"/>
      <c r="B6" s="4"/>
    </row>
    <row r="7" spans="1:2" x14ac:dyDescent="0.25">
      <c r="A7" s="4"/>
    </row>
  </sheetData>
  <mergeCells count="2">
    <mergeCell ref="A4:B4"/>
    <mergeCell ref="A5:B5"/>
  </mergeCells>
  <pageMargins left="0.7" right="0.7" top="0.75" bottom="0.75" header="0.3" footer="0.3"/>
  <pageSetup scale="8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4"/>
  <sheetViews>
    <sheetView workbookViewId="0">
      <selection activeCell="B17" sqref="B17:C21"/>
    </sheetView>
  </sheetViews>
  <sheetFormatPr baseColWidth="10" defaultColWidth="9.140625" defaultRowHeight="15" x14ac:dyDescent="0.25"/>
  <cols>
    <col min="2" max="2" width="12.5703125" customWidth="1"/>
    <col min="3" max="3" width="71.5703125" bestFit="1" customWidth="1"/>
  </cols>
  <sheetData>
    <row r="2" spans="2:3" x14ac:dyDescent="0.25">
      <c r="B2" s="9" t="s">
        <v>0</v>
      </c>
      <c r="C2" s="10" t="s">
        <v>1</v>
      </c>
    </row>
    <row r="3" spans="2:3" x14ac:dyDescent="0.25">
      <c r="B3" s="11">
        <v>3.2570000000000002E-2</v>
      </c>
      <c r="C3" s="12" t="s">
        <v>22</v>
      </c>
    </row>
    <row r="4" spans="2:3" x14ac:dyDescent="0.25">
      <c r="B4" s="11">
        <v>0.24382999999999999</v>
      </c>
      <c r="C4" s="12" t="s">
        <v>23</v>
      </c>
    </row>
    <row r="5" spans="2:3" ht="15.75" thickBot="1" x14ac:dyDescent="0.3">
      <c r="B5" s="15">
        <v>-0.27639999999999998</v>
      </c>
      <c r="C5" s="16" t="s">
        <v>20</v>
      </c>
    </row>
    <row r="6" spans="2:3" x14ac:dyDescent="0.25">
      <c r="B6" s="13" t="s">
        <v>0</v>
      </c>
      <c r="C6" s="14" t="s">
        <v>2</v>
      </c>
    </row>
    <row r="7" spans="2:3" x14ac:dyDescent="0.25">
      <c r="B7" s="11">
        <v>0.65646000000000004</v>
      </c>
      <c r="C7" s="12" t="s">
        <v>3</v>
      </c>
    </row>
    <row r="8" spans="2:3" x14ac:dyDescent="0.25">
      <c r="B8" s="11">
        <v>0.22011</v>
      </c>
      <c r="C8" s="12" t="s">
        <v>4</v>
      </c>
    </row>
    <row r="9" spans="2:3" x14ac:dyDescent="0.25">
      <c r="B9" s="11">
        <v>0.126</v>
      </c>
      <c r="C9" s="12" t="s">
        <v>5</v>
      </c>
    </row>
    <row r="10" spans="2:3" ht="15.75" thickBot="1" x14ac:dyDescent="0.3">
      <c r="B10" s="15">
        <v>-1.00257</v>
      </c>
      <c r="C10" s="16" t="s">
        <v>6</v>
      </c>
    </row>
    <row r="11" spans="2:3" x14ac:dyDescent="0.25">
      <c r="B11" s="13" t="s">
        <v>0</v>
      </c>
      <c r="C11" s="14" t="s">
        <v>7</v>
      </c>
    </row>
    <row r="12" spans="2:3" x14ac:dyDescent="0.25">
      <c r="B12" s="11">
        <v>-0.73168999999999995</v>
      </c>
      <c r="C12" s="12" t="s">
        <v>8</v>
      </c>
    </row>
    <row r="13" spans="2:3" x14ac:dyDescent="0.25">
      <c r="B13" s="11">
        <v>-0.43715999999999999</v>
      </c>
      <c r="C13" s="12" t="s">
        <v>9</v>
      </c>
    </row>
    <row r="14" spans="2:3" x14ac:dyDescent="0.25">
      <c r="B14" s="11">
        <v>0.15736</v>
      </c>
      <c r="C14" s="12" t="s">
        <v>10</v>
      </c>
    </row>
    <row r="15" spans="2:3" ht="15.75" thickBot="1" x14ac:dyDescent="0.3">
      <c r="B15" s="15">
        <v>1.0114799999999999</v>
      </c>
      <c r="C15" s="16" t="s">
        <v>11</v>
      </c>
    </row>
    <row r="16" spans="2:3" x14ac:dyDescent="0.25">
      <c r="B16" s="13" t="s">
        <v>0</v>
      </c>
      <c r="C16" s="14" t="s">
        <v>12</v>
      </c>
    </row>
    <row r="17" spans="2:3" x14ac:dyDescent="0.25">
      <c r="B17" s="11">
        <v>0.12511</v>
      </c>
      <c r="C17" s="12" t="s">
        <v>13</v>
      </c>
    </row>
    <row r="18" spans="2:3" x14ac:dyDescent="0.25">
      <c r="B18" s="11">
        <v>0.17427999999999999</v>
      </c>
      <c r="C18" s="12" t="s">
        <v>14</v>
      </c>
    </row>
    <row r="19" spans="2:3" x14ac:dyDescent="0.25">
      <c r="B19" s="11">
        <v>1.58E-3</v>
      </c>
      <c r="C19" s="12" t="s">
        <v>15</v>
      </c>
    </row>
    <row r="20" spans="2:3" x14ac:dyDescent="0.25">
      <c r="B20" s="11">
        <v>1.6889999999999999E-2</v>
      </c>
      <c r="C20" s="12" t="s">
        <v>16</v>
      </c>
    </row>
    <row r="21" spans="2:3" ht="15.75" thickBot="1" x14ac:dyDescent="0.3">
      <c r="B21" s="15">
        <v>-0.31785999999999998</v>
      </c>
      <c r="C21" s="16" t="s">
        <v>17</v>
      </c>
    </row>
    <row r="24" spans="2:3" x14ac:dyDescent="0.25">
      <c r="B24" s="5" t="s">
        <v>21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4"/>
  <sheetViews>
    <sheetView workbookViewId="0">
      <selection activeCell="B3" sqref="B3:C5"/>
    </sheetView>
  </sheetViews>
  <sheetFormatPr baseColWidth="10" defaultColWidth="9.140625" defaultRowHeight="15" x14ac:dyDescent="0.25"/>
  <cols>
    <col min="2" max="2" width="12.5703125" customWidth="1"/>
    <col min="3" max="3" width="31.85546875" customWidth="1"/>
  </cols>
  <sheetData>
    <row r="1" spans="2:8" x14ac:dyDescent="0.25">
      <c r="D1" t="s">
        <v>25</v>
      </c>
      <c r="E1" t="s">
        <v>26</v>
      </c>
      <c r="F1" t="s">
        <v>27</v>
      </c>
      <c r="G1" t="s">
        <v>28</v>
      </c>
    </row>
    <row r="2" spans="2:8" x14ac:dyDescent="0.25">
      <c r="B2" s="9" t="s">
        <v>0</v>
      </c>
      <c r="C2" s="10" t="s">
        <v>1</v>
      </c>
    </row>
    <row r="3" spans="2:8" x14ac:dyDescent="0.25">
      <c r="B3" s="11">
        <v>3.2570000000000002E-2</v>
      </c>
      <c r="C3" s="12" t="s">
        <v>22</v>
      </c>
      <c r="D3" t="s">
        <v>29</v>
      </c>
      <c r="E3">
        <f>B4</f>
        <v>0.24382999999999999</v>
      </c>
    </row>
    <row r="4" spans="2:8" x14ac:dyDescent="0.25">
      <c r="B4" s="11">
        <v>0.24382999999999999</v>
      </c>
      <c r="C4" s="12" t="s">
        <v>23</v>
      </c>
      <c r="D4">
        <f>B5</f>
        <v>-0.27639999999999998</v>
      </c>
    </row>
    <row r="5" spans="2:8" ht="15.75" thickBot="1" x14ac:dyDescent="0.3">
      <c r="B5" s="15">
        <v>-0.27639999999999998</v>
      </c>
      <c r="C5" s="16" t="s">
        <v>20</v>
      </c>
      <c r="D5" s="8" t="s">
        <v>29</v>
      </c>
      <c r="E5" s="8"/>
      <c r="F5" s="8">
        <f>E3-D4</f>
        <v>0.52022999999999997</v>
      </c>
      <c r="G5" s="8">
        <f>F5/$F$23</f>
        <v>0.11784386701309525</v>
      </c>
      <c r="H5" s="18">
        <f>G5</f>
        <v>0.11784386701309525</v>
      </c>
    </row>
    <row r="6" spans="2:8" x14ac:dyDescent="0.25">
      <c r="B6" s="13" t="s">
        <v>0</v>
      </c>
      <c r="C6" s="14" t="s">
        <v>2</v>
      </c>
      <c r="E6">
        <f>B7</f>
        <v>0.65646000000000004</v>
      </c>
      <c r="H6" s="17"/>
    </row>
    <row r="7" spans="2:8" x14ac:dyDescent="0.25">
      <c r="B7" s="11">
        <v>0.65646000000000004</v>
      </c>
      <c r="C7" s="12" t="s">
        <v>3</v>
      </c>
      <c r="H7" s="17"/>
    </row>
    <row r="8" spans="2:8" x14ac:dyDescent="0.25">
      <c r="B8" s="11">
        <v>0.22011</v>
      </c>
      <c r="C8" s="12" t="s">
        <v>4</v>
      </c>
      <c r="H8" s="17"/>
    </row>
    <row r="9" spans="2:8" x14ac:dyDescent="0.25">
      <c r="B9" s="11">
        <v>0.126</v>
      </c>
      <c r="C9" s="12" t="s">
        <v>5</v>
      </c>
      <c r="H9" s="17"/>
    </row>
    <row r="10" spans="2:8" ht="15.75" thickBot="1" x14ac:dyDescent="0.3">
      <c r="B10" s="15">
        <v>-1.00257</v>
      </c>
      <c r="C10" s="16" t="s">
        <v>6</v>
      </c>
      <c r="D10" s="8">
        <f>B10</f>
        <v>-1.00257</v>
      </c>
      <c r="E10" s="8"/>
      <c r="F10" s="8">
        <f>E6-D10</f>
        <v>1.65903</v>
      </c>
      <c r="G10" s="8">
        <f t="shared" ref="G10:G21" si="0">F10/$F$23</f>
        <v>0.37580783632380954</v>
      </c>
      <c r="H10" s="18">
        <f t="shared" ref="H10:H21" si="1">G10</f>
        <v>0.37580783632380954</v>
      </c>
    </row>
    <row r="11" spans="2:8" x14ac:dyDescent="0.25">
      <c r="B11" s="13" t="s">
        <v>0</v>
      </c>
      <c r="C11" s="14" t="s">
        <v>7</v>
      </c>
      <c r="H11" s="17"/>
    </row>
    <row r="12" spans="2:8" x14ac:dyDescent="0.25">
      <c r="B12" s="11">
        <v>-0.73168999999999995</v>
      </c>
      <c r="C12" s="12" t="s">
        <v>8</v>
      </c>
      <c r="D12">
        <f>B12</f>
        <v>-0.73168999999999995</v>
      </c>
      <c r="H12" s="17"/>
    </row>
    <row r="13" spans="2:8" x14ac:dyDescent="0.25">
      <c r="B13" s="11">
        <v>-0.43715999999999999</v>
      </c>
      <c r="C13" s="12" t="s">
        <v>9</v>
      </c>
      <c r="H13" s="17"/>
    </row>
    <row r="14" spans="2:8" x14ac:dyDescent="0.25">
      <c r="B14" s="11">
        <v>0.15736</v>
      </c>
      <c r="C14" s="12" t="s">
        <v>10</v>
      </c>
      <c r="H14" s="17"/>
    </row>
    <row r="15" spans="2:8" ht="15.75" thickBot="1" x14ac:dyDescent="0.3">
      <c r="B15" s="15">
        <v>1.0114799999999999</v>
      </c>
      <c r="C15" s="16" t="s">
        <v>11</v>
      </c>
      <c r="D15" s="8"/>
      <c r="E15" s="8">
        <f>B15</f>
        <v>1.0114799999999999</v>
      </c>
      <c r="F15" s="8">
        <f>E15-D12</f>
        <v>1.7431699999999999</v>
      </c>
      <c r="G15" s="8">
        <f t="shared" si="0"/>
        <v>0.39486745028394604</v>
      </c>
      <c r="H15" s="18">
        <f t="shared" si="1"/>
        <v>0.39486745028394604</v>
      </c>
    </row>
    <row r="16" spans="2:8" x14ac:dyDescent="0.25">
      <c r="B16" s="13" t="s">
        <v>0</v>
      </c>
      <c r="C16" s="14" t="s">
        <v>12</v>
      </c>
      <c r="H16" s="17"/>
    </row>
    <row r="17" spans="2:8" x14ac:dyDescent="0.25">
      <c r="B17" s="11">
        <v>0.12511</v>
      </c>
      <c r="C17" s="12" t="s">
        <v>13</v>
      </c>
      <c r="H17" s="17"/>
    </row>
    <row r="18" spans="2:8" x14ac:dyDescent="0.25">
      <c r="B18" s="11">
        <v>0.17427999999999999</v>
      </c>
      <c r="C18" s="12" t="s">
        <v>14</v>
      </c>
      <c r="E18">
        <f>B18</f>
        <v>0.17427999999999999</v>
      </c>
      <c r="H18" s="17"/>
    </row>
    <row r="19" spans="2:8" x14ac:dyDescent="0.25">
      <c r="B19" s="11">
        <v>1.58E-3</v>
      </c>
      <c r="C19" s="12" t="s">
        <v>15</v>
      </c>
      <c r="H19" s="17"/>
    </row>
    <row r="20" spans="2:8" x14ac:dyDescent="0.25">
      <c r="B20" s="11">
        <v>1.6889999999999999E-2</v>
      </c>
      <c r="C20" s="12" t="s">
        <v>16</v>
      </c>
      <c r="D20" t="s">
        <v>29</v>
      </c>
      <c r="H20" s="17"/>
    </row>
    <row r="21" spans="2:8" ht="15.75" thickBot="1" x14ac:dyDescent="0.3">
      <c r="B21" s="15">
        <v>-0.31785999999999998</v>
      </c>
      <c r="C21" s="16" t="s">
        <v>17</v>
      </c>
      <c r="D21" s="8">
        <f>B21</f>
        <v>-0.31785999999999998</v>
      </c>
      <c r="E21" s="8"/>
      <c r="F21" s="8">
        <f>E18-D21</f>
        <v>0.49213999999999997</v>
      </c>
      <c r="G21" s="8">
        <f t="shared" si="0"/>
        <v>0.11148084637914903</v>
      </c>
      <c r="H21" s="18">
        <f t="shared" si="1"/>
        <v>0.11148084637914903</v>
      </c>
    </row>
    <row r="23" spans="2:8" x14ac:dyDescent="0.25">
      <c r="F23">
        <f>SUM(F3:F21)</f>
        <v>4.4145700000000003</v>
      </c>
      <c r="G23">
        <f>SUM(G2:G22)</f>
        <v>0.99999999999999978</v>
      </c>
    </row>
    <row r="24" spans="2:8" x14ac:dyDescent="0.25">
      <c r="B24" s="5" t="s">
        <v>21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opLeftCell="A5" workbookViewId="0">
      <selection activeCell="A24" sqref="A24:XFD24"/>
    </sheetView>
  </sheetViews>
  <sheetFormatPr baseColWidth="10" defaultRowHeight="20.25" x14ac:dyDescent="0.3"/>
  <cols>
    <col min="1" max="1" width="71.5703125" style="20" bestFit="1" customWidth="1"/>
    <col min="2" max="2" width="33.7109375" style="20" bestFit="1" customWidth="1"/>
    <col min="3" max="3" width="18.28515625" style="20" bestFit="1" customWidth="1"/>
    <col min="4" max="4" width="21.140625" style="20" bestFit="1" customWidth="1"/>
    <col min="5" max="16384" width="11.42578125" style="20"/>
  </cols>
  <sheetData>
    <row r="1" spans="1:4" x14ac:dyDescent="0.3">
      <c r="B1" s="20" t="s">
        <v>37</v>
      </c>
      <c r="C1" s="20" t="s">
        <v>38</v>
      </c>
    </row>
    <row r="2" spans="1:4" x14ac:dyDescent="0.3">
      <c r="B2" s="20">
        <v>0.65646000000000004</v>
      </c>
      <c r="C2" s="20" t="s">
        <v>3</v>
      </c>
    </row>
    <row r="3" spans="1:4" x14ac:dyDescent="0.3">
      <c r="B3" s="20">
        <v>0.22011</v>
      </c>
      <c r="C3" s="20" t="s">
        <v>4</v>
      </c>
    </row>
    <row r="4" spans="1:4" x14ac:dyDescent="0.3">
      <c r="B4" s="20">
        <v>0.126</v>
      </c>
      <c r="C4" s="20" t="s">
        <v>5</v>
      </c>
    </row>
    <row r="5" spans="1:4" x14ac:dyDescent="0.3">
      <c r="B5" s="20">
        <v>-1.00257</v>
      </c>
      <c r="C5" s="20" t="s">
        <v>6</v>
      </c>
    </row>
    <row r="6" spans="1:4" x14ac:dyDescent="0.3">
      <c r="B6" s="20">
        <v>-0.73168999999999995</v>
      </c>
      <c r="C6" s="20" t="s">
        <v>8</v>
      </c>
    </row>
    <row r="7" spans="1:4" x14ac:dyDescent="0.3">
      <c r="B7" s="20">
        <v>-0.43715999999999999</v>
      </c>
      <c r="C7" s="20" t="s">
        <v>9</v>
      </c>
    </row>
    <row r="8" spans="1:4" x14ac:dyDescent="0.3">
      <c r="B8" s="20">
        <v>0.15736</v>
      </c>
      <c r="C8" s="20" t="s">
        <v>10</v>
      </c>
    </row>
    <row r="9" spans="1:4" x14ac:dyDescent="0.3">
      <c r="B9" s="20">
        <v>1.0114799999999999</v>
      </c>
      <c r="C9" s="20" t="s">
        <v>11</v>
      </c>
    </row>
    <row r="11" spans="1:4" x14ac:dyDescent="0.3">
      <c r="B11" s="20" t="s">
        <v>34</v>
      </c>
      <c r="C11" s="20" t="s">
        <v>35</v>
      </c>
      <c r="D11" s="20" t="s">
        <v>36</v>
      </c>
    </row>
    <row r="12" spans="1:4" x14ac:dyDescent="0.3">
      <c r="A12" s="21" t="s">
        <v>30</v>
      </c>
      <c r="B12" s="20">
        <f>B6</f>
        <v>-0.73168999999999995</v>
      </c>
      <c r="C12" s="20">
        <f>B2</f>
        <v>0.65646000000000004</v>
      </c>
      <c r="D12" s="20">
        <f>SUM(B12:C12)</f>
        <v>-7.5229999999999908E-2</v>
      </c>
    </row>
    <row r="13" spans="1:4" x14ac:dyDescent="0.3">
      <c r="A13" s="21" t="s">
        <v>31</v>
      </c>
      <c r="B13" s="20">
        <f>B7</f>
        <v>-0.43715999999999999</v>
      </c>
      <c r="C13" s="20">
        <f>B3</f>
        <v>0.22011</v>
      </c>
      <c r="D13" s="20">
        <f t="shared" ref="D13:D15" si="0">SUM(B13:C13)</f>
        <v>-0.21704999999999999</v>
      </c>
    </row>
    <row r="14" spans="1:4" x14ac:dyDescent="0.3">
      <c r="A14" s="23" t="s">
        <v>32</v>
      </c>
      <c r="B14" s="22">
        <f>B8</f>
        <v>0.15736</v>
      </c>
      <c r="C14" s="22">
        <f>B4</f>
        <v>0.126</v>
      </c>
      <c r="D14" s="22">
        <f t="shared" si="0"/>
        <v>0.28336</v>
      </c>
    </row>
    <row r="15" spans="1:4" x14ac:dyDescent="0.3">
      <c r="A15" s="21" t="s">
        <v>33</v>
      </c>
      <c r="B15" s="20">
        <f>B9</f>
        <v>1.0114799999999999</v>
      </c>
      <c r="C15" s="20">
        <f>B5</f>
        <v>-1.00257</v>
      </c>
      <c r="D15" s="20">
        <f t="shared" si="0"/>
        <v>8.9099999999999735E-3</v>
      </c>
    </row>
    <row r="18" spans="1:3" x14ac:dyDescent="0.3">
      <c r="A18" s="20" t="s">
        <v>47</v>
      </c>
    </row>
    <row r="19" spans="1:3" x14ac:dyDescent="0.3">
      <c r="A19" s="20" t="s">
        <v>39</v>
      </c>
    </row>
    <row r="21" spans="1:3" x14ac:dyDescent="0.3">
      <c r="A21" s="20" t="s">
        <v>40</v>
      </c>
      <c r="B21" s="20" t="s">
        <v>41</v>
      </c>
    </row>
    <row r="22" spans="1:3" x14ac:dyDescent="0.3">
      <c r="A22" s="20" t="s">
        <v>42</v>
      </c>
      <c r="B22" s="20">
        <f>B2-B5</f>
        <v>1.65903</v>
      </c>
    </row>
    <row r="24" spans="1:3" x14ac:dyDescent="0.3">
      <c r="A24" s="20" t="s">
        <v>43</v>
      </c>
      <c r="B24" s="20">
        <f>B22/45</f>
        <v>3.6867333333333335E-2</v>
      </c>
      <c r="C24" s="20" t="s">
        <v>44</v>
      </c>
    </row>
    <row r="27" spans="1:3" x14ac:dyDescent="0.3">
      <c r="A27" s="20" t="s">
        <v>45</v>
      </c>
    </row>
    <row r="29" spans="1:3" x14ac:dyDescent="0.3">
      <c r="B29" s="20">
        <f>D14-D15</f>
        <v>0.27445000000000003</v>
      </c>
    </row>
    <row r="31" spans="1:3" x14ac:dyDescent="0.3">
      <c r="B31" s="20">
        <f>B29/B24</f>
        <v>7.444259597475634</v>
      </c>
      <c r="C31" s="20" t="s">
        <v>46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4"/>
  <sheetViews>
    <sheetView workbookViewId="0">
      <selection activeCell="E10" sqref="A10:E14"/>
    </sheetView>
  </sheetViews>
  <sheetFormatPr baseColWidth="10" defaultRowHeight="15" x14ac:dyDescent="0.25"/>
  <cols>
    <col min="1" max="1" width="116.42578125" bestFit="1" customWidth="1"/>
    <col min="2" max="2" width="17.42578125" customWidth="1"/>
    <col min="3" max="3" width="15.85546875" bestFit="1" customWidth="1"/>
    <col min="4" max="4" width="22.7109375" bestFit="1" customWidth="1"/>
    <col min="5" max="5" width="23.85546875" bestFit="1" customWidth="1"/>
  </cols>
  <sheetData>
    <row r="2" spans="1:5" x14ac:dyDescent="0.25">
      <c r="A2" s="11">
        <v>0.12511</v>
      </c>
      <c r="B2" s="12" t="s">
        <v>13</v>
      </c>
    </row>
    <row r="3" spans="1:5" x14ac:dyDescent="0.25">
      <c r="A3" s="11">
        <v>0.17427999999999999</v>
      </c>
      <c r="B3" s="12" t="s">
        <v>14</v>
      </c>
    </row>
    <row r="4" spans="1:5" x14ac:dyDescent="0.25">
      <c r="A4" s="11">
        <v>1.58E-3</v>
      </c>
      <c r="B4" s="12" t="s">
        <v>15</v>
      </c>
    </row>
    <row r="5" spans="1:5" x14ac:dyDescent="0.25">
      <c r="A5" s="11">
        <v>1.6889999999999999E-2</v>
      </c>
      <c r="B5" s="12" t="s">
        <v>16</v>
      </c>
    </row>
    <row r="6" spans="1:5" ht="15.75" thickBot="1" x14ac:dyDescent="0.3">
      <c r="A6" s="15">
        <v>-0.31785999999999998</v>
      </c>
      <c r="B6" s="16" t="s">
        <v>17</v>
      </c>
    </row>
    <row r="8" spans="1:5" x14ac:dyDescent="0.25">
      <c r="A8" s="19" t="s">
        <v>43</v>
      </c>
      <c r="B8" s="19">
        <v>3.6867333333333335E-2</v>
      </c>
      <c r="C8" s="19" t="s">
        <v>44</v>
      </c>
      <c r="D8" s="19"/>
      <c r="E8" s="19"/>
    </row>
    <row r="9" spans="1:5" x14ac:dyDescent="0.25">
      <c r="A9" s="19"/>
      <c r="B9" s="19"/>
      <c r="C9" s="19"/>
      <c r="D9" s="19"/>
      <c r="E9" s="19"/>
    </row>
    <row r="10" spans="1:5" ht="20.25" x14ac:dyDescent="0.3">
      <c r="A10" s="20"/>
      <c r="B10" s="24" t="s">
        <v>52</v>
      </c>
      <c r="C10" s="20" t="s">
        <v>53</v>
      </c>
      <c r="D10" s="20" t="s">
        <v>54</v>
      </c>
      <c r="E10" s="20" t="s">
        <v>55</v>
      </c>
    </row>
    <row r="11" spans="1:5" ht="20.25" x14ac:dyDescent="0.3">
      <c r="A11" s="20" t="s">
        <v>48</v>
      </c>
      <c r="B11" s="25">
        <f>A4-A6</f>
        <v>0.31944</v>
      </c>
      <c r="C11" s="25">
        <f>B11/$B$8</f>
        <v>8.6645811106489941</v>
      </c>
      <c r="D11" s="25">
        <v>3.25</v>
      </c>
      <c r="E11" s="25">
        <f>C11-D11</f>
        <v>5.4145811106489941</v>
      </c>
    </row>
    <row r="12" spans="1:5" ht="20.25" x14ac:dyDescent="0.3">
      <c r="A12" s="20" t="s">
        <v>50</v>
      </c>
      <c r="B12" s="25">
        <f>A5-A6</f>
        <v>0.33474999999999999</v>
      </c>
      <c r="C12" s="25">
        <f t="shared" ref="C12:C14" si="0">B12/$B$8</f>
        <v>9.0798538905263904</v>
      </c>
      <c r="D12" s="25">
        <v>10</v>
      </c>
      <c r="E12" s="25">
        <f t="shared" ref="E12:E14" si="1">C12-D12</f>
        <v>-0.92014610947360964</v>
      </c>
    </row>
    <row r="13" spans="1:5" ht="20.25" x14ac:dyDescent="0.3">
      <c r="A13" s="20" t="s">
        <v>49</v>
      </c>
      <c r="B13" s="25">
        <f>A2-A6</f>
        <v>0.44296999999999997</v>
      </c>
      <c r="C13" s="25">
        <f t="shared" si="0"/>
        <v>12.015243847308366</v>
      </c>
      <c r="D13" s="25">
        <v>0</v>
      </c>
      <c r="E13" s="25">
        <f t="shared" si="1"/>
        <v>12.015243847308366</v>
      </c>
    </row>
    <row r="14" spans="1:5" ht="20.25" x14ac:dyDescent="0.3">
      <c r="A14" s="20" t="s">
        <v>51</v>
      </c>
      <c r="B14" s="25">
        <f>A3-A6</f>
        <v>0.49213999999999997</v>
      </c>
      <c r="C14" s="25">
        <f t="shared" si="0"/>
        <v>13.348944865373138</v>
      </c>
      <c r="D14" s="25">
        <v>12</v>
      </c>
      <c r="E14" s="25">
        <f t="shared" si="1"/>
        <v>1.348944865373138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A5" sqref="A5:I21"/>
    </sheetView>
  </sheetViews>
  <sheetFormatPr baseColWidth="10" defaultRowHeight="15" x14ac:dyDescent="0.25"/>
  <cols>
    <col min="1" max="1" width="18.140625" bestFit="1" customWidth="1"/>
  </cols>
  <sheetData>
    <row r="1" spans="1:3" x14ac:dyDescent="0.25">
      <c r="A1" s="11">
        <v>3.2570000000000002E-2</v>
      </c>
      <c r="B1" s="12" t="s">
        <v>22</v>
      </c>
    </row>
    <row r="2" spans="1:3" x14ac:dyDescent="0.25">
      <c r="A2" s="11">
        <v>0.24382999999999999</v>
      </c>
      <c r="B2" s="12" t="s">
        <v>23</v>
      </c>
    </row>
    <row r="3" spans="1:3" ht="15.75" thickBot="1" x14ac:dyDescent="0.3">
      <c r="A3" s="15">
        <v>-0.27639999999999998</v>
      </c>
      <c r="B3" s="16" t="s">
        <v>20</v>
      </c>
    </row>
    <row r="5" spans="1:3" x14ac:dyDescent="0.25">
      <c r="A5" t="s">
        <v>43</v>
      </c>
      <c r="B5">
        <v>3.6867333333333335E-2</v>
      </c>
      <c r="C5" t="s">
        <v>44</v>
      </c>
    </row>
    <row r="7" spans="1:3" x14ac:dyDescent="0.25">
      <c r="A7" t="s">
        <v>56</v>
      </c>
      <c r="B7" t="s">
        <v>22</v>
      </c>
    </row>
    <row r="8" spans="1:3" x14ac:dyDescent="0.25">
      <c r="A8" t="s">
        <v>57</v>
      </c>
      <c r="B8" t="s">
        <v>20</v>
      </c>
    </row>
    <row r="9" spans="1:3" x14ac:dyDescent="0.25">
      <c r="A9">
        <f>A1-A3</f>
        <v>0.30896999999999997</v>
      </c>
    </row>
    <row r="12" spans="1:3" x14ac:dyDescent="0.25">
      <c r="A12" t="s">
        <v>53</v>
      </c>
      <c r="B12">
        <f>A9/B5</f>
        <v>8.3805898627511244</v>
      </c>
    </row>
    <row r="16" spans="1:3" x14ac:dyDescent="0.25">
      <c r="A16" t="s">
        <v>56</v>
      </c>
      <c r="B16" t="s">
        <v>23</v>
      </c>
    </row>
    <row r="17" spans="1:2" x14ac:dyDescent="0.25">
      <c r="A17" t="s">
        <v>57</v>
      </c>
      <c r="B17" t="s">
        <v>20</v>
      </c>
    </row>
    <row r="18" spans="1:2" x14ac:dyDescent="0.25">
      <c r="A18">
        <f>A2-A3</f>
        <v>0.52022999999999997</v>
      </c>
    </row>
    <row r="21" spans="1:2" x14ac:dyDescent="0.25">
      <c r="A21" t="s">
        <v>53</v>
      </c>
      <c r="B21">
        <f>A18/B5</f>
        <v>14.110865987956817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A7093D962BB241994BF196712ACDBF" ma:contentTypeVersion="121" ma:contentTypeDescription="Create a new document." ma:contentTypeScope="" ma:versionID="a784e39e569aeb71f4b3654f55866e1a">
  <xsd:schema xmlns:xsd="http://www.w3.org/2001/XMLSchema" xmlns:p="http://schemas.microsoft.com/office/2006/metadata/properties" xmlns:ns2="ec868678-deb6-48cf-896b-119bf5e2249b" xmlns:ns3="http://schemas.microsoft.com/sharepoint/v3/fields" targetNamespace="http://schemas.microsoft.com/office/2006/metadata/properties" ma:root="true" ma:fieldsID="dcc2f29ff0ae77f198204ce3131c08b2" ns2:_="" ns3:_="">
    <xsd:import namespace="ec868678-deb6-48cf-896b-119bf5e2249b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Document_x0020_Type" minOccurs="0"/>
                <xsd:element ref="ns2:Subject_x0020_Area"/>
                <xsd:element ref="ns2:New_x0020_or_x0020_Revision_x003f_"/>
                <xsd:element ref="ns2:Faculty_x0020_Sponsor_x002a_"/>
                <xsd:element ref="ns2:Approver_x002a_"/>
                <xsd:element ref="ns2:Dashboard_x002a_" minOccurs="0"/>
                <xsd:element ref="ns2:DBP_x0020_Editor_x002a_" minOccurs="0"/>
                <xsd:element ref="ns2:Metadata_x0020_Link_x0020_ID" minOccurs="0"/>
                <xsd:element ref="ns2:Metadata_x0020_Form_x0020_URL_x002a_" minOccurs="0"/>
                <xsd:element ref="ns2:SWAT" minOccurs="0"/>
                <xsd:element ref="ns2:Edit_x0020_Type" minOccurs="0"/>
                <xsd:element ref="ns2:Editing_x0020_Status" minOccurs="0"/>
                <xsd:element ref="ns2:_x0032_nd_x0020_Editor_x002a_" minOccurs="0"/>
                <xsd:element ref="ns2:Admin_x0020_Assistant" minOccurs="0"/>
                <xsd:element ref="ns3:_Statu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ec868678-deb6-48cf-896b-119bf5e2249b" elementFormDefault="qualified">
    <xsd:import namespace="http://schemas.microsoft.com/office/2006/documentManagement/types"/>
    <xsd:element name="Document_x0020_Type" ma:index="2" nillable="true" ma:displayName="Product Type" ma:format="Dropdown" ma:internalName="Document_x0020_Type">
      <xsd:simpleType>
        <xsd:restriction base="dms:Choice">
          <xsd:enumeration value="Case"/>
          <xsd:enumeration value="Teaching Note"/>
          <xsd:enumeration value="Technical Note"/>
          <xsd:enumeration value="Supplemental File"/>
          <xsd:enumeration value="Working Paper"/>
          <xsd:enumeration value="Multimedia Case"/>
          <xsd:enumeration value="Simulation"/>
          <xsd:enumeration value="Video"/>
          <xsd:enumeration value="MOD"/>
          <xsd:enumeration value="Audio"/>
          <xsd:enumeration value="Book"/>
          <xsd:enumeration value="Syllabus"/>
          <xsd:enumeration value="Exercise"/>
          <xsd:enumeration value="Forio Simulation"/>
        </xsd:restriction>
      </xsd:simpleType>
    </xsd:element>
    <xsd:element name="Subject_x0020_Area" ma:index="3" ma:displayName="Subject Area" ma:format="Dropdown" ma:internalName="Subject_x0020_Area" ma:readOnly="false">
      <xsd:simpleType>
        <xsd:restriction base="dms:Choice">
          <xsd:enumeration value="Accounting and Control"/>
          <xsd:enumeration value="Business Communications"/>
          <xsd:enumeration value="Business Policy"/>
          <xsd:enumeration value="Computer-Information Technology"/>
          <xsd:enumeration value="Entrepreneurship and Innovation"/>
          <xsd:enumeration value="Ethics"/>
          <xsd:enumeration value="Finance"/>
          <xsd:enumeration value="General"/>
          <xsd:enumeration value="Global Economies and Markets"/>
          <xsd:enumeration value="Marketing"/>
          <xsd:enumeration value="Nonprofit Organizations"/>
          <xsd:enumeration value="Operations Management"/>
          <xsd:enumeration value="Organizational Behavior and Human Resources"/>
          <xsd:enumeration value="Pedagogy and Higher Administration"/>
          <xsd:enumeration value="Personal Assessment and Career Strategy"/>
          <xsd:enumeration value="Quantitative Analysis"/>
          <xsd:enumeration value="Strategy"/>
        </xsd:restriction>
      </xsd:simpleType>
    </xsd:element>
    <xsd:element name="New_x0020_or_x0020_Revision_x003f_" ma:index="4" ma:displayName="New or Revision?" ma:format="RadioButtons" ma:internalName="New_x0020_or_x0020_Revision_x003F_" ma:readOnly="false">
      <xsd:simpleType>
        <xsd:restriction base="dms:Choice">
          <xsd:enumeration value="New"/>
          <xsd:enumeration value="Revision"/>
        </xsd:restriction>
      </xsd:simpleType>
    </xsd:element>
    <xsd:element name="Faculty_x0020_Sponsor_x002a_" ma:index="5" ma:displayName="Faculty Sponsor" ma:list="UserInfo" ma:internalName="Faculty_x0020_Sponsor_x002A_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r_x002a_" ma:index="6" ma:displayName="Approver" ma:list="UserInfo" ma:internalName="Approver_x002A_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shboard_x002a_" ma:index="7" nillable="true" ma:displayName="Dashboard" ma:format="Hyperlink" ma:internalName="Dashboard_x002A_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BP_x0020_Editor_x002a_" ma:index="8" nillable="true" ma:displayName="DBP Editor" ma:list="UserInfo" ma:internalName="DBP_x0020_Editor_x002A_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tadata_x0020_Link_x0020_ID" ma:index="9" nillable="true" ma:displayName="File Identification Number" ma:internalName="Metadata_x0020_Link_x0020_ID">
      <xsd:simpleType>
        <xsd:restriction base="dms:Text">
          <xsd:maxLength value="255"/>
        </xsd:restriction>
      </xsd:simpleType>
    </xsd:element>
    <xsd:element name="Metadata_x0020_Form_x0020_URL_x002a_" ma:index="10" nillable="true" ma:displayName="Metadata Form URL" ma:format="Hyperlink" ma:internalName="Metadata_x0020_Form_x0020_URL_x002A_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SWAT" ma:index="11" nillable="true" ma:displayName="SWAT" ma:default="0" ma:internalName="SWAT">
      <xsd:simpleType>
        <xsd:restriction base="dms:Boolean"/>
      </xsd:simpleType>
    </xsd:element>
    <xsd:element name="Edit_x0020_Type" ma:index="13" nillable="true" ma:displayName="Edit Type" ma:format="Dropdown" ma:internalName="Edit_x0020_Type" ma:readOnly="false">
      <xsd:simpleType>
        <xsd:restriction base="dms:Choice">
          <xsd:enumeration value="New Editing"/>
          <xsd:enumeration value="Revised Editing"/>
          <xsd:enumeration value="SWAT/Truncated"/>
        </xsd:restriction>
      </xsd:simpleType>
    </xsd:element>
    <xsd:element name="Editing_x0020_Status" ma:index="14" nillable="true" ma:displayName="Editing Status" ma:format="Dropdown" ma:internalName="Editing_x0020_Status">
      <xsd:simpleType>
        <xsd:restriction base="dms:Choice">
          <xsd:enumeration value="Not Started"/>
          <xsd:enumeration value="First Read"/>
          <xsd:enumeration value="First Read Complete"/>
          <xsd:enumeration value="Second Read"/>
          <xsd:enumeration value="Second Read Complete"/>
          <xsd:enumeration value="Editor Review"/>
          <xsd:enumeration value="Author Review"/>
          <xsd:enumeration value="Link Sent"/>
          <xsd:enumeration value="Final Editor Review"/>
          <xsd:enumeration value="Waiting Approval"/>
          <xsd:enumeration value="Metadata Review"/>
          <xsd:enumeration value="Metadata Review Complete"/>
          <xsd:enumeration value="Editing Complete"/>
          <xsd:enumeration value="Rejected Restart Editing"/>
          <xsd:enumeration value="Truncated WF Edit"/>
        </xsd:restriction>
      </xsd:simpleType>
    </xsd:element>
    <xsd:element name="_x0032_nd_x0020_Editor_x002a_" ma:index="16" nillable="true" ma:displayName="2nd Editor" ma:description="" ma:list="UserInfo" ma:internalName="_x0032_nd_x0020_Editor_x002A_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dmin_x0020_Assistant" ma:index="17" nillable="true" ma:displayName="Admin Assistant" ma:list="UserInfo" ma:internalName="Admin_x0020_Assistant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http://schemas.microsoft.com/sharepoint/v3/fields" elementFormDefault="qualified">
    <xsd:import namespace="http://schemas.microsoft.com/office/2006/documentManagement/types"/>
    <xsd:element name="_Status" ma:index="20" nillable="true" ma:displayName="Status" ma:format="Dropdown" ma:internalName="_Status">
      <xsd:simpleType>
        <xsd:restriction base="dms:Choice">
          <xsd:enumeration value="New Upload"/>
          <xsd:enumeration value="Revised Upload"/>
          <xsd:enumeration value="SWAT Upload"/>
          <xsd:enumeration value="Ready For Edit"/>
          <xsd:enumeration value="Starting"/>
          <xsd:enumeration value="In Editing"/>
          <xsd:enumeration value="On Hold"/>
          <xsd:enumeration value="Pending Approval"/>
          <xsd:enumeration value="Approved"/>
          <xsd:enumeration value="Rejected"/>
          <xsd:enumeration value="Final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Document_x0020_Type xmlns="ec868678-deb6-48cf-896b-119bf5e2249b">Supplemental File</Document_x0020_Type>
    <Faculty_x0020_Sponsor_x002a_ xmlns="ec868678-deb6-48cf-896b-119bf5e2249b">
      <UserInfo>
        <DisplayName>Wilcox, Ron</DisplayName>
        <AccountId>132</AccountId>
        <AccountType/>
      </UserInfo>
    </Faculty_x0020_Sponsor_x002a_>
    <Subject_x0020_Area xmlns="ec868678-deb6-48cf-896b-119bf5e2249b">Marketing</Subject_x0020_Area>
    <Approver_x002a_ xmlns="ec868678-deb6-48cf-896b-119bf5e2249b">
      <UserInfo>
        <DisplayName>Wilcox, Ron</DisplayName>
        <AccountId>132</AccountId>
        <AccountType/>
      </UserInfo>
    </Approver_x002a_>
    <Dashboard_x002a_ xmlns="ec868678-deb6-48cf-896b-119bf5e2249b">
      <Url>http://cm3.darden.virginia.edu/CMO/WorkflowDashboard.aspx?wf=3710</Url>
      <Description>Workflow Dashboard</Description>
    </Dashboard_x002a_>
    <Metadata_x0020_Form_x0020_URL_x002a_ xmlns="ec868678-deb6-48cf-896b-119bf5e2249b">
      <Url>http://cm3.darden.virginia.edu/CMO/Editing%20Metadata/DispFormMeta.aspx?ID=4432</Url>
      <Description>View Document Metadata</Description>
    </Metadata_x0020_Form_x0020_URL_x002a_>
    <DBP_x0020_Editor_x002a_ xmlns="ec868678-deb6-48cf-896b-119bf5e2249b">
      <UserInfo>
        <DisplayName>Mullin, Leslie</DisplayName>
        <AccountId>438</AccountId>
        <AccountType/>
      </UserInfo>
    </DBP_x0020_Editor_x002a_>
    <Metadata_x0020_Link_x0020_ID xmlns="ec868678-deb6-48cf-896b-119bf5e2249b">{7C50FD4E-C194-4CCF-BAFC-7ED1EC99AFF1}</Metadata_x0020_Link_x0020_ID>
    <SWAT xmlns="ec868678-deb6-48cf-896b-119bf5e2249b">true</SWAT>
    <_Status xmlns="http://schemas.microsoft.com/sharepoint/v3/fields" xsi:nil="true"/>
    <Edit_x0020_Type xmlns="ec868678-deb6-48cf-896b-119bf5e2249b">SWAT/Truncated</Edit_x0020_Type>
    <Admin_x0020_Assistant xmlns="ec868678-deb6-48cf-896b-119bf5e2249b">
      <UserInfo>
        <DisplayName>Richards, Barbara</DisplayName>
        <AccountId>35</AccountId>
        <AccountType/>
      </UserInfo>
    </Admin_x0020_Assistant>
    <Editing_x0020_Status xmlns="ec868678-deb6-48cf-896b-119bf5e2249b">Metadata Review Complete</Editing_x0020_Status>
    <_x0032_nd_x0020_Editor_x002a_ xmlns="ec868678-deb6-48cf-896b-119bf5e2249b">
      <UserInfo>
        <DisplayName/>
        <AccountId xsi:nil="true"/>
        <AccountType/>
      </UserInfo>
    </_x0032_nd_x0020_Editor_x002a_>
    <New_x0020_or_x0020_Revision_x003f_ xmlns="ec868678-deb6-48cf-896b-119bf5e2249b">Revision</New_x0020_or_x0020_Revision_x003f_>
  </documentManagement>
</p:properties>
</file>

<file path=customXml/itemProps1.xml><?xml version="1.0" encoding="utf-8"?>
<ds:datastoreItem xmlns:ds="http://schemas.openxmlformats.org/officeDocument/2006/customXml" ds:itemID="{F747D372-65C5-4873-8FBF-EE39B26520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868678-deb6-48cf-896b-119bf5e2249b"/>
    <ds:schemaRef ds:uri="http://schemas.microsoft.com/sharepoint/v3/field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ED3279D6-E1ED-4BB1-91AA-2287FEE053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5C1E67-BC0B-40E3-A27E-259BA5180362}">
  <ds:schemaRefs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sharepoint/v3/fields"/>
    <ds:schemaRef ds:uri="http://schemas.microsoft.com/office/2006/documentManagement/types"/>
    <ds:schemaRef ds:uri="ec868678-deb6-48cf-896b-119bf5e2249b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Title Page</vt:lpstr>
      <vt:lpstr>Table 1. Utility score data.</vt:lpstr>
      <vt:lpstr>ReWichtigkeiten</vt:lpstr>
      <vt:lpstr>Preisentscheidungen</vt:lpstr>
      <vt:lpstr>Promotional Items</vt:lpstr>
      <vt:lpstr>Sizes of packages</vt:lpstr>
    </vt:vector>
  </TitlesOfParts>
  <Company>Darden Graduate Business School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Portland Trail Blazers (SPREADSHEET)</dc:title>
  <dc:creator>Wilcox, Ron</dc:creator>
  <cp:lastModifiedBy>Markus Beinert</cp:lastModifiedBy>
  <dcterms:created xsi:type="dcterms:W3CDTF">2012-03-20T18:05:29Z</dcterms:created>
  <dcterms:modified xsi:type="dcterms:W3CDTF">2016-11-02T20:29:51Z</dcterms:modified>
  <cp:contentStatus>In Editing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0x01010058A7093D962BB241994BF196712ACDBF</vt:lpwstr>
  </property>
  <property fmtid="{D5CDD505-2E9C-101B-9397-08002B2CF9AE}" pid="3" name="NeededFor">
    <vt:lpwstr>No</vt:lpwstr>
  </property>
  <property fmtid="{D5CDD505-2E9C-101B-9397-08002B2CF9AE}" pid="4" name="BSR">
    <vt:lpwstr>No</vt:lpwstr>
  </property>
  <property fmtid="{D5CDD505-2E9C-101B-9397-08002B2CF9AE}" pid="5" name="Fictional/Disguised">
    <vt:lpwstr>No</vt:lpwstr>
  </property>
  <property fmtid="{D5CDD505-2E9C-101B-9397-08002B2CF9AE}" pid="6" name="Sources">
    <vt:lpwstr>No</vt:lpwstr>
  </property>
  <property fmtid="{D5CDD505-2E9C-101B-9397-08002B2CF9AE}" pid="7" name="AuthorReviewDate">
    <vt:lpwstr>2012-03-29T04:00:00+00:00</vt:lpwstr>
  </property>
  <property fmtid="{D5CDD505-2E9C-101B-9397-08002B2CF9AE}" pid="8" name="EmailTo">
    <vt:lpwstr>newcase@moss4.darden.virginia.edu &amp;lt;newcase@moss4.darden.virginia.edu&amp;gt;</vt:lpwstr>
  </property>
  <property fmtid="{D5CDD505-2E9C-101B-9397-08002B2CF9AE}" pid="9" name="Perm_Release">
    <vt:lpwstr>No</vt:lpwstr>
  </property>
  <property fmtid="{D5CDD505-2E9C-101B-9397-08002B2CF9AE}" pid="10" name="Pages0">
    <vt:lpwstr>1</vt:lpwstr>
  </property>
  <property fmtid="{D5CDD505-2E9C-101B-9397-08002B2CF9AE}" pid="11" name="EmailSender">
    <vt:lpwstr>&lt;a href="mailto:woodse@darden.virginia.edu"&gt;woodse@darden.virginia.edu&lt;/a&gt;</vt:lpwstr>
  </property>
  <property fmtid="{D5CDD505-2E9C-101B-9397-08002B2CF9AE}" pid="12" name="EmailSubject">
    <vt:lpwstr>FW: portland trailblazers</vt:lpwstr>
  </property>
  <property fmtid="{D5CDD505-2E9C-101B-9397-08002B2CF9AE}" pid="13" name="EmailFrom">
    <vt:lpwstr>Woods, Elizabeth (Beth) &lt;woodse@darden.virginia.edu&gt;</vt:lpwstr>
  </property>
  <property fmtid="{D5CDD505-2E9C-101B-9397-08002B2CF9AE}" pid="14" name="Editor0">
    <vt:lpwstr>Shrode, Kirstin18</vt:lpwstr>
  </property>
  <property fmtid="{D5CDD505-2E9C-101B-9397-08002B2CF9AE}" pid="15" name="Level of Difficulty">
    <vt:lpwstr>1</vt:lpwstr>
  </property>
  <property fmtid="{D5CDD505-2E9C-101B-9397-08002B2CF9AE}" pid="16" name="ServiceLevel">
    <vt:lpwstr>External</vt:lpwstr>
  </property>
  <property fmtid="{D5CDD505-2E9C-101B-9397-08002B2CF9AE}" pid="17" name="WorkflowCreationPath">
    <vt:lpwstr>486cb3c1-c433-404d-83d7-2c91a01b85f5,4;486cb3c1-c433-404d-83d7-2c91a01b85f5,4;486cb3c1-c433-404d-83d7-2c91a01b85f5,4;486cb3c1-c433-404d-83d7-2c91a01b85f5,4;486cb3c1-c433-404d-83d7-2c91a01b85f5,4;486cb3c1-c433-404d-83d7-2c91a01b85f5,4;486cb3c1-c433-404d-83</vt:lpwstr>
  </property>
  <property fmtid="{D5CDD505-2E9C-101B-9397-08002B2CF9AE}" pid="18" name="SWAT">
    <vt:lpwstr>false</vt:lpwstr>
  </property>
  <property fmtid="{D5CDD505-2E9C-101B-9397-08002B2CF9AE}" pid="19" name="Admin Assistant">
    <vt:lpwstr>Richards, Barbara35</vt:lpwstr>
  </property>
  <property fmtid="{D5CDD505-2E9C-101B-9397-08002B2CF9AE}" pid="20" name="Edit Type">
    <vt:lpwstr>New Editing</vt:lpwstr>
  </property>
  <property fmtid="{D5CDD505-2E9C-101B-9397-08002B2CF9AE}" pid="21" name="2nd Editor*">
    <vt:lpwstr>Shrode, Kirstin18</vt:lpwstr>
  </property>
  <property fmtid="{D5CDD505-2E9C-101B-9397-08002B2CF9AE}" pid="22" name="Modified">
    <vt:lpwstr>2012-04-05T12:35:23Z</vt:lpwstr>
  </property>
  <property fmtid="{D5CDD505-2E9C-101B-9397-08002B2CF9AE}" pid="23" name="Editor">
    <vt:lpwstr>DARDEN\alstons66</vt:lpwstr>
  </property>
  <property fmtid="{D5CDD505-2E9C-101B-9397-08002B2CF9AE}" pid="24" name="Editing Status">
    <vt:lpwstr>Editing Complete</vt:lpwstr>
  </property>
</Properties>
</file>
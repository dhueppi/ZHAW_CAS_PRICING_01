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485" yWindow="150" windowWidth="8115" windowHeight="14850" tabRatio="866" activeTab="1"/>
  </bookViews>
  <sheets>
    <sheet name="Title Page" sheetId="7" r:id="rId1"/>
    <sheet name="Regular Manufacturer Margins" sheetId="4" r:id="rId2"/>
    <sheet name="Regular Retailer Margins" sheetId="1" r:id="rId3"/>
    <sheet name="Promoted Manufacturer Margins" sheetId="5" r:id="rId4"/>
    <sheet name="Promoted Retail Margins" sheetId="2" r:id="rId5"/>
    <sheet name="Hypothetical Deals Manufacturer" sheetId="3" r:id="rId6"/>
    <sheet name="Hypothetical Deals Retailer" sheetId="6" r:id="rId7"/>
  </sheets>
  <calcPr calcId="145621"/>
</workbook>
</file>

<file path=xl/calcChain.xml><?xml version="1.0" encoding="utf-8"?>
<calcChain xmlns="http://schemas.openxmlformats.org/spreadsheetml/2006/main">
  <c r="C9" i="2" l="1"/>
  <c r="C10" i="2" s="1"/>
  <c r="B10" i="2"/>
  <c r="E8" i="6"/>
  <c r="E12" i="6" s="1"/>
  <c r="E7" i="6"/>
  <c r="E11" i="6" s="1"/>
  <c r="D18" i="6"/>
  <c r="C18" i="6"/>
  <c r="B18" i="6"/>
  <c r="D8" i="6"/>
  <c r="C8" i="6"/>
  <c r="B8" i="6"/>
  <c r="D7" i="6"/>
  <c r="C7" i="6"/>
  <c r="B7" i="6"/>
  <c r="E10" i="3"/>
  <c r="E9" i="3"/>
  <c r="E8" i="3"/>
  <c r="D18" i="3"/>
  <c r="C18" i="3"/>
  <c r="B18" i="3"/>
  <c r="D10" i="3"/>
  <c r="C10" i="3"/>
  <c r="B10" i="3"/>
  <c r="D8" i="3"/>
  <c r="C8" i="3"/>
  <c r="B8" i="3"/>
  <c r="D9" i="3"/>
  <c r="C9" i="3"/>
  <c r="B9" i="3"/>
  <c r="C10" i="5"/>
  <c r="C11" i="5" s="1"/>
  <c r="B9" i="5"/>
  <c r="B10" i="5" s="1"/>
  <c r="B15" i="5" s="1"/>
  <c r="I14" i="4"/>
  <c r="H14" i="4"/>
  <c r="G14" i="4"/>
  <c r="F14" i="4"/>
  <c r="E14" i="4"/>
  <c r="D14" i="4"/>
  <c r="C14" i="4"/>
  <c r="B14" i="4"/>
  <c r="B13" i="2"/>
  <c r="I13" i="1"/>
  <c r="H13" i="1"/>
  <c r="G13" i="1"/>
  <c r="F13" i="1"/>
  <c r="E13" i="1"/>
  <c r="D13" i="1"/>
  <c r="C13" i="1"/>
  <c r="B13" i="1"/>
  <c r="C13" i="2" l="1"/>
  <c r="E11" i="3"/>
  <c r="E13" i="3" s="1"/>
  <c r="E12" i="3"/>
  <c r="E14" i="3" s="1"/>
  <c r="E18" i="6"/>
  <c r="E13" i="6"/>
  <c r="E14" i="6"/>
  <c r="E18" i="3"/>
  <c r="C15" i="5"/>
  <c r="B11" i="5"/>
</calcChain>
</file>

<file path=xl/comments1.xml><?xml version="1.0" encoding="utf-8"?>
<comments xmlns="http://schemas.openxmlformats.org/spreadsheetml/2006/main">
  <authors>
    <author>Woods, Elizabeth (Beth)</author>
  </authors>
  <commentList>
    <comment ref="B10" authorId="0">
      <text>
        <r>
          <rPr>
            <b/>
            <sz val="9"/>
            <color indexed="81"/>
            <rFont val="Tahoma"/>
            <family val="2"/>
          </rPr>
          <t>Woods, Elizabeth (Beth):</t>
        </r>
        <r>
          <rPr>
            <sz val="9"/>
            <color indexed="81"/>
            <rFont val="Tahoma"/>
            <family val="2"/>
          </rPr>
          <t xml:space="preserve">
There's a dollar sign in the PPT file for this cell. Should there be one here, too? If so, how do we put it in with the formula?</t>
        </r>
      </text>
    </comment>
  </commentList>
</comments>
</file>

<file path=xl/comments2.xml><?xml version="1.0" encoding="utf-8"?>
<comments xmlns="http://schemas.openxmlformats.org/spreadsheetml/2006/main">
  <authors>
    <author>Woods, Elizabeth (Beth)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Woods, Elizabeth (Beth):</t>
        </r>
        <r>
          <rPr>
            <sz val="9"/>
            <color indexed="81"/>
            <rFont val="Tahoma"/>
            <family val="2"/>
          </rPr>
          <t xml:space="preserve">
This tab/slide doesn't show up in the PPT file. Is that OK?</t>
        </r>
      </text>
    </comment>
  </commentList>
</comments>
</file>

<file path=xl/sharedStrings.xml><?xml version="1.0" encoding="utf-8"?>
<sst xmlns="http://schemas.openxmlformats.org/spreadsheetml/2006/main" count="111" uniqueCount="52">
  <si>
    <t>Package Size</t>
  </si>
  <si>
    <t>Case Cost (Regular)</t>
  </si>
  <si>
    <t>Case Cost (Promoted)</t>
  </si>
  <si>
    <t>Units Per Case</t>
  </si>
  <si>
    <t>Unit Cost (Regular)</t>
  </si>
  <si>
    <t>Unit Cost (Promoted)</t>
  </si>
  <si>
    <t>Unit Price (Regular)</t>
  </si>
  <si>
    <t>Unit Price (Promoted)</t>
  </si>
  <si>
    <t>Unit Dollar Margin (Regular)</t>
  </si>
  <si>
    <t>Unit Dollar Margin (Promoted)</t>
  </si>
  <si>
    <t xml:space="preserve">Case Cost </t>
  </si>
  <si>
    <t xml:space="preserve">Unit Cost </t>
  </si>
  <si>
    <t xml:space="preserve">Unit Price </t>
  </si>
  <si>
    <t xml:space="preserve">Unit Dollar Margin </t>
  </si>
  <si>
    <t>Consumption Expansion Multiplier</t>
  </si>
  <si>
    <t>Consumption-adjusted Margin (per ounce)</t>
  </si>
  <si>
    <t>Red Rocket</t>
  </si>
  <si>
    <t>Promotional Allowance</t>
  </si>
  <si>
    <t>Regular Price per Case</t>
  </si>
  <si>
    <t>$6.50 Trade Deal</t>
  </si>
  <si>
    <t>$8.00 Trade Deal</t>
  </si>
  <si>
    <t>$10.00 Trade Deal</t>
  </si>
  <si>
    <t>Unit Price (Promoted)*</t>
  </si>
  <si>
    <t>Current Promotion</t>
  </si>
  <si>
    <t>COGS per Case</t>
  </si>
  <si>
    <t>Unit Percent Margin (Regular)</t>
  </si>
  <si>
    <t xml:space="preserve">Unit  Percent Margin (Promoted) </t>
  </si>
  <si>
    <t>Consumption-Adjusted Margin (per ounce)</t>
  </si>
  <si>
    <t>Consumption-Adjusted Margin (dollars per ounce)</t>
  </si>
  <si>
    <t xml:space="preserve">Unit Percent Margin  </t>
  </si>
  <si>
    <t>Units per Case</t>
  </si>
  <si>
    <t>24 oz.</t>
  </si>
  <si>
    <t>36 oz.</t>
  </si>
  <si>
    <t xml:space="preserve">Unit Percent Margin </t>
  </si>
  <si>
    <t xml:space="preserve">Unit Percent Margin (Promoted) </t>
  </si>
  <si>
    <t>This spreadsheet supports INSTRUCTOR analysis of the case “Heinz Ketchup: Promoting an American Icon” (UVA-M-0777).</t>
  </si>
  <si>
    <t>14 oz.</t>
  </si>
  <si>
    <t>32 oz. (UD)</t>
  </si>
  <si>
    <t>46 oz.</t>
  </si>
  <si>
    <t>64 oz.</t>
  </si>
  <si>
    <t>Twin50 oz.</t>
  </si>
  <si>
    <t>20 oz. (UD)</t>
  </si>
  <si>
    <t>Data source: Heinz.</t>
  </si>
  <si>
    <t>Price per Case</t>
  </si>
  <si>
    <t>Hypothetical Trade Deals for 46-oz. Size (manufacturer margins)</t>
  </si>
  <si>
    <t>Hypothetical Trade Deals for 46-oz. Size (retail margins)</t>
  </si>
  <si>
    <t>Promoted Manufacturer Margins</t>
  </si>
  <si>
    <t>Regular Manufacturer Margins (not promoted)</t>
  </si>
  <si>
    <t>Regular Retailer Margins (not promoted)</t>
  </si>
  <si>
    <t>Promoted Retail Margins</t>
  </si>
  <si>
    <r>
      <t xml:space="preserve">*Assumes retailers set retail price to $1.99. This implies a retail pass-through rate ranging from ($3.09 − $1.99)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Times New Roman"/>
        <family val="1"/>
      </rPr>
      <t>($2.42 − $1.88) = 204% to ($3.09 − $1.99) ÷ ($2.42 − $1.59) = 132%, which is consistent with prior observations.</t>
    </r>
  </si>
  <si>
    <t>Jun. 27,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</si>
</sst>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%"/>
    <numFmt numFmtId="168" formatCode="&quot;$&quot;#,##0.00"/>
    <numFmt numFmtId="169" formatCode="0.000"/>
    <numFmt numFmtId="170" formatCode="&quot;$&quot;#,##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i/>
      <sz val="10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903B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0" fillId="0" borderId="0"/>
    <xf numFmtId="0" fontId="12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/>
    <xf numFmtId="169" fontId="2" fillId="4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8" fontId="2" fillId="2" borderId="0" xfId="1" applyNumberFormat="1" applyFont="1" applyFill="1" applyAlignment="1">
      <alignment horizontal="center"/>
    </xf>
    <xf numFmtId="168" fontId="2" fillId="0" borderId="0" xfId="1" applyNumberFormat="1" applyFont="1" applyFill="1" applyAlignment="1">
      <alignment horizontal="center"/>
    </xf>
    <xf numFmtId="169" fontId="2" fillId="2" borderId="0" xfId="0" applyNumberFormat="1" applyFont="1" applyFill="1" applyAlignment="1">
      <alignment horizontal="center"/>
    </xf>
    <xf numFmtId="10" fontId="2" fillId="2" borderId="0" xfId="2" applyNumberFormat="1" applyFont="1" applyFill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5" fillId="0" borderId="0" xfId="0" applyFont="1" applyAlignment="1">
      <alignment horizontal="center"/>
    </xf>
    <xf numFmtId="168" fontId="2" fillId="0" borderId="0" xfId="1" applyNumberFormat="1" applyFont="1" applyAlignment="1">
      <alignment horizontal="center"/>
    </xf>
    <xf numFmtId="167" fontId="2" fillId="2" borderId="0" xfId="2" applyNumberFormat="1" applyFont="1" applyFill="1" applyAlignment="1">
      <alignment horizontal="center"/>
    </xf>
    <xf numFmtId="0" fontId="2" fillId="2" borderId="0" xfId="0" applyFont="1" applyFill="1"/>
    <xf numFmtId="0" fontId="6" fillId="0" borderId="0" xfId="0" applyFont="1"/>
    <xf numFmtId="0" fontId="3" fillId="0" borderId="0" xfId="0" applyFont="1"/>
    <xf numFmtId="165" fontId="2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9" fontId="7" fillId="4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9" fontId="2" fillId="4" borderId="0" xfId="0" applyNumberFormat="1" applyFont="1" applyFill="1" applyBorder="1" applyAlignment="1">
      <alignment horizontal="center"/>
    </xf>
    <xf numFmtId="0" fontId="0" fillId="0" borderId="0" xfId="0" applyBorder="1" applyAlignment="1"/>
    <xf numFmtId="0" fontId="9" fillId="0" borderId="0" xfId="0" applyFont="1"/>
    <xf numFmtId="0" fontId="1" fillId="0" borderId="0" xfId="3"/>
    <xf numFmtId="0" fontId="7" fillId="5" borderId="0" xfId="4" applyFont="1" applyFill="1" applyAlignment="1">
      <alignment horizontal="center" vertical="center" wrapText="1"/>
    </xf>
    <xf numFmtId="0" fontId="11" fillId="0" borderId="0" xfId="4" applyFont="1" applyFill="1" applyAlignment="1">
      <alignment horizontal="center" vertical="center" wrapText="1"/>
    </xf>
    <xf numFmtId="0" fontId="1" fillId="0" borderId="0" xfId="3" applyBorder="1"/>
    <xf numFmtId="168" fontId="2" fillId="2" borderId="0" xfId="0" applyNumberFormat="1" applyFont="1" applyFill="1" applyAlignment="1">
      <alignment horizontal="center"/>
    </xf>
    <xf numFmtId="167" fontId="2" fillId="0" borderId="0" xfId="2" applyNumberFormat="1" applyFont="1" applyAlignment="1">
      <alignment horizontal="center"/>
    </xf>
    <xf numFmtId="169" fontId="2" fillId="0" borderId="0" xfId="1" applyNumberFormat="1" applyFont="1" applyAlignment="1">
      <alignment horizontal="center"/>
    </xf>
    <xf numFmtId="169" fontId="2" fillId="2" borderId="0" xfId="1" applyNumberFormat="1" applyFont="1" applyFill="1" applyAlignment="1">
      <alignment horizontal="center"/>
    </xf>
    <xf numFmtId="0" fontId="3" fillId="0" borderId="0" xfId="0" applyFont="1" applyAlignment="1"/>
    <xf numFmtId="0" fontId="2" fillId="2" borderId="0" xfId="0" applyFont="1" applyFill="1" applyAlignment="1"/>
    <xf numFmtId="164" fontId="2" fillId="0" borderId="0" xfId="1" applyNumberFormat="1" applyFont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7" fontId="2" fillId="0" borderId="0" xfId="2" applyNumberFormat="1" applyFont="1" applyFill="1" applyAlignment="1">
      <alignment horizontal="center"/>
    </xf>
    <xf numFmtId="0" fontId="2" fillId="4" borderId="0" xfId="0" applyFont="1" applyFill="1" applyBorder="1"/>
    <xf numFmtId="0" fontId="6" fillId="0" borderId="0" xfId="0" applyFont="1" applyBorder="1"/>
    <xf numFmtId="0" fontId="2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/>
    </xf>
    <xf numFmtId="168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8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167" fontId="2" fillId="0" borderId="0" xfId="2" applyNumberFormat="1" applyFont="1" applyFill="1" applyBorder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9" fontId="2" fillId="0" borderId="0" xfId="0" applyNumberFormat="1" applyFont="1" applyFill="1" applyAlignment="1">
      <alignment horizontal="center"/>
    </xf>
    <xf numFmtId="0" fontId="0" fillId="0" borderId="0" xfId="0" applyFill="1"/>
    <xf numFmtId="168" fontId="2" fillId="0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8" fontId="3" fillId="0" borderId="0" xfId="1" applyNumberFormat="1" applyFont="1" applyFill="1" applyAlignment="1">
      <alignment horizontal="center"/>
    </xf>
    <xf numFmtId="168" fontId="3" fillId="0" borderId="0" xfId="0" applyNumberFormat="1" applyFont="1" applyFill="1" applyAlignment="1">
      <alignment horizontal="center"/>
    </xf>
    <xf numFmtId="10" fontId="3" fillId="0" borderId="0" xfId="2" applyNumberFormat="1" applyFont="1" applyFill="1" applyAlignment="1">
      <alignment horizontal="center"/>
    </xf>
    <xf numFmtId="10" fontId="2" fillId="0" borderId="0" xfId="2" applyNumberFormat="1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Fill="1" applyAlignment="1">
      <alignment wrapText="1"/>
    </xf>
    <xf numFmtId="170" fontId="2" fillId="2" borderId="0" xfId="0" applyNumberFormat="1" applyFont="1" applyFill="1" applyAlignment="1">
      <alignment horizontal="center"/>
    </xf>
    <xf numFmtId="170" fontId="2" fillId="0" borderId="0" xfId="0" applyNumberFormat="1" applyFont="1" applyFill="1" applyAlignment="1">
      <alignment horizontal="center"/>
    </xf>
    <xf numFmtId="0" fontId="6" fillId="0" borderId="0" xfId="3" applyNumberFormat="1" applyFont="1" applyFill="1" applyAlignment="1">
      <alignment horizontal="left"/>
    </xf>
    <xf numFmtId="0" fontId="13" fillId="0" borderId="0" xfId="5" applyFont="1" applyBorder="1" applyAlignment="1">
      <alignment horizontal="justify" vertical="top" wrapText="1"/>
    </xf>
    <xf numFmtId="0" fontId="12" fillId="0" borderId="0" xfId="5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Alignment="1">
      <alignment horizontal="left" wrapText="1"/>
    </xf>
  </cellXfs>
  <cellStyles count="6">
    <cellStyle name="Normal 2" xfId="3"/>
    <cellStyle name="Normal 2 2" xfId="4"/>
    <cellStyle name="Normal 3" xfId="5"/>
    <cellStyle name="Prozent" xfId="2" builtinId="5"/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0</xdr:rowOff>
    </xdr:from>
    <xdr:to>
      <xdr:col>0</xdr:col>
      <xdr:colOff>1515315</xdr:colOff>
      <xdr:row>1</xdr:row>
      <xdr:rowOff>790575</xdr:rowOff>
    </xdr:to>
    <xdr:pic>
      <xdr:nvPicPr>
        <xdr:cNvPr id="2" name="Picture 1" descr="logos 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90500"/>
          <a:ext cx="1439115" cy="790575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7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23.42578125" style="36" customWidth="1"/>
    <col min="2" max="2" width="114" style="36" customWidth="1"/>
    <col min="3" max="16384" width="9.140625" style="36"/>
  </cols>
  <sheetData>
    <row r="2" spans="1:2" ht="65.25" customHeight="1" x14ac:dyDescent="0.25">
      <c r="B2" s="37" t="s">
        <v>35</v>
      </c>
    </row>
    <row r="3" spans="1:2" ht="13.5" customHeight="1" x14ac:dyDescent="0.25">
      <c r="A3" s="38"/>
      <c r="B3" s="38"/>
    </row>
    <row r="4" spans="1:2" ht="54" customHeight="1" x14ac:dyDescent="0.25">
      <c r="A4" s="83"/>
      <c r="B4" s="84"/>
    </row>
    <row r="5" spans="1:2" x14ac:dyDescent="0.25">
      <c r="A5" s="82" t="s">
        <v>51</v>
      </c>
    </row>
    <row r="6" spans="1:2" x14ac:dyDescent="0.25">
      <c r="A6" s="39"/>
      <c r="B6" s="39"/>
    </row>
    <row r="7" spans="1:2" x14ac:dyDescent="0.25">
      <c r="A7" s="39"/>
    </row>
  </sheetData>
  <mergeCells count="1">
    <mergeCell ref="A4:B4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91" zoomScaleNormal="91" workbookViewId="0">
      <selection activeCell="J19" sqref="J19"/>
    </sheetView>
  </sheetViews>
  <sheetFormatPr baseColWidth="10" defaultColWidth="9.140625" defaultRowHeight="15" x14ac:dyDescent="0.25"/>
  <cols>
    <col min="1" max="1" width="49.28515625" customWidth="1"/>
    <col min="2" max="2" width="10.140625" bestFit="1" customWidth="1"/>
    <col min="3" max="3" width="11.85546875" bestFit="1" customWidth="1"/>
    <col min="4" max="4" width="11.5703125" bestFit="1" customWidth="1"/>
    <col min="5" max="5" width="11.85546875" bestFit="1" customWidth="1"/>
    <col min="6" max="8" width="10.140625" bestFit="1" customWidth="1"/>
    <col min="9" max="9" width="11.42578125" bestFit="1" customWidth="1"/>
  </cols>
  <sheetData>
    <row r="1" spans="1:9" ht="15.75" x14ac:dyDescent="0.25">
      <c r="A1" s="85" t="s">
        <v>47</v>
      </c>
      <c r="B1" s="85"/>
      <c r="C1" s="85"/>
      <c r="D1" s="85"/>
      <c r="E1" s="85"/>
      <c r="F1" s="85"/>
      <c r="G1" s="85"/>
      <c r="H1" s="85"/>
      <c r="I1" s="85"/>
    </row>
    <row r="2" spans="1:9" s="3" customFormat="1" ht="15.75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5.75" x14ac:dyDescent="0.25">
      <c r="A3" s="4"/>
      <c r="B3" s="17"/>
      <c r="C3" s="17"/>
      <c r="D3" s="44" t="s">
        <v>16</v>
      </c>
      <c r="E3" s="17"/>
      <c r="F3" s="17"/>
      <c r="G3" s="17"/>
      <c r="H3" s="17"/>
      <c r="I3" s="17"/>
    </row>
    <row r="4" spans="1:9" ht="15.75" x14ac:dyDescent="0.25">
      <c r="A4" s="4" t="s">
        <v>0</v>
      </c>
      <c r="B4" s="5" t="s">
        <v>36</v>
      </c>
      <c r="C4" s="5" t="s">
        <v>41</v>
      </c>
      <c r="D4" s="10" t="s">
        <v>31</v>
      </c>
      <c r="E4" s="5" t="s">
        <v>37</v>
      </c>
      <c r="F4" s="5" t="s">
        <v>32</v>
      </c>
      <c r="G4" s="5" t="s">
        <v>38</v>
      </c>
      <c r="H4" s="5" t="s">
        <v>39</v>
      </c>
      <c r="I4" s="5" t="s">
        <v>40</v>
      </c>
    </row>
    <row r="5" spans="1:9" ht="15.75" x14ac:dyDescent="0.25">
      <c r="A5" s="23" t="s">
        <v>24</v>
      </c>
      <c r="B5" s="12">
        <v>15.65</v>
      </c>
      <c r="C5" s="12">
        <v>11.44</v>
      </c>
      <c r="D5" s="11">
        <v>18.739999999999998</v>
      </c>
      <c r="E5" s="12">
        <v>15.41</v>
      </c>
      <c r="F5" s="12">
        <v>16.14</v>
      </c>
      <c r="G5" s="12">
        <v>20.51</v>
      </c>
      <c r="H5" s="12">
        <v>21.02</v>
      </c>
      <c r="I5" s="12">
        <v>25.01</v>
      </c>
    </row>
    <row r="6" spans="1:9" ht="15.75" x14ac:dyDescent="0.25">
      <c r="A6" s="4" t="s">
        <v>43</v>
      </c>
      <c r="B6" s="12">
        <v>23.72</v>
      </c>
      <c r="C6" s="12">
        <v>15.18</v>
      </c>
      <c r="D6" s="11">
        <v>25.3</v>
      </c>
      <c r="E6" s="12">
        <v>22.88</v>
      </c>
      <c r="F6" s="12">
        <v>22.88</v>
      </c>
      <c r="G6" s="12">
        <v>29.06</v>
      </c>
      <c r="H6" s="12">
        <v>29.84</v>
      </c>
      <c r="I6" s="12">
        <v>30.44</v>
      </c>
    </row>
    <row r="7" spans="1:9" ht="15.75" x14ac:dyDescent="0.25">
      <c r="A7" s="4" t="s">
        <v>30</v>
      </c>
      <c r="B7" s="5">
        <v>24</v>
      </c>
      <c r="C7" s="5">
        <v>12</v>
      </c>
      <c r="D7" s="10">
        <v>20</v>
      </c>
      <c r="E7" s="5">
        <v>12</v>
      </c>
      <c r="F7" s="5">
        <v>12</v>
      </c>
      <c r="G7" s="5">
        <v>12</v>
      </c>
      <c r="H7" s="5">
        <v>9</v>
      </c>
      <c r="I7" s="5">
        <v>6</v>
      </c>
    </row>
    <row r="8" spans="1:9" ht="15.75" x14ac:dyDescent="0.25">
      <c r="A8" s="4" t="s">
        <v>11</v>
      </c>
      <c r="B8" s="20">
        <v>0.65208333333333335</v>
      </c>
      <c r="C8" s="20">
        <v>0.95333333333333325</v>
      </c>
      <c r="D8" s="13">
        <v>0.93699999999999994</v>
      </c>
      <c r="E8" s="20">
        <v>1.2841666666666667</v>
      </c>
      <c r="F8" s="20">
        <v>1.345</v>
      </c>
      <c r="G8" s="20">
        <v>1.7091666666666667</v>
      </c>
      <c r="H8" s="20">
        <v>2.3355555555555556</v>
      </c>
      <c r="I8" s="20">
        <v>4.1683333333333339</v>
      </c>
    </row>
    <row r="9" spans="1:9" ht="15.75" x14ac:dyDescent="0.25">
      <c r="A9" s="66" t="s">
        <v>12</v>
      </c>
      <c r="B9" s="14">
        <v>0.98833333333333329</v>
      </c>
      <c r="C9" s="14">
        <v>1.2649999999999999</v>
      </c>
      <c r="D9" s="13">
        <v>1.2650000000000001</v>
      </c>
      <c r="E9" s="20">
        <v>1.9066666666666665</v>
      </c>
      <c r="F9" s="20">
        <v>1.9066666666666665</v>
      </c>
      <c r="G9" s="20">
        <v>2.4216666666666664</v>
      </c>
      <c r="H9" s="20">
        <v>3.3155555555555556</v>
      </c>
      <c r="I9" s="20">
        <v>5.0733333333333333</v>
      </c>
    </row>
    <row r="10" spans="1:9" ht="15.75" x14ac:dyDescent="0.25">
      <c r="A10" s="66" t="s">
        <v>13</v>
      </c>
      <c r="B10" s="71">
        <v>0.33624999999999994</v>
      </c>
      <c r="C10" s="71">
        <v>0.31166666666666665</v>
      </c>
      <c r="D10" s="40">
        <v>0.32800000000000018</v>
      </c>
      <c r="E10" s="71">
        <v>0.62249999999999983</v>
      </c>
      <c r="F10" s="71">
        <v>0.56166666666666654</v>
      </c>
      <c r="G10" s="71">
        <v>0.71249999999999969</v>
      </c>
      <c r="H10" s="71">
        <v>0.98</v>
      </c>
      <c r="I10" s="71">
        <v>0.90499999999999936</v>
      </c>
    </row>
    <row r="11" spans="1:9" ht="15.75" x14ac:dyDescent="0.25">
      <c r="A11" s="66" t="s">
        <v>33</v>
      </c>
      <c r="B11" s="48">
        <v>0.3402192242833052</v>
      </c>
      <c r="C11" s="48">
        <v>0.24637681159420291</v>
      </c>
      <c r="D11" s="21">
        <v>0.25928853754940723</v>
      </c>
      <c r="E11" s="41">
        <v>0.3264860139860139</v>
      </c>
      <c r="F11" s="41">
        <v>0.29458041958041953</v>
      </c>
      <c r="G11" s="41">
        <v>0.29421885753613203</v>
      </c>
      <c r="H11" s="41">
        <v>0.29557640750670239</v>
      </c>
      <c r="I11" s="41">
        <v>0.1783837056504598</v>
      </c>
    </row>
    <row r="12" spans="1:9" ht="15.75" x14ac:dyDescent="0.25">
      <c r="A12" s="4"/>
      <c r="B12" s="17"/>
      <c r="C12" s="17"/>
      <c r="D12" s="45"/>
      <c r="E12" s="17"/>
      <c r="F12" s="17"/>
      <c r="G12" s="17"/>
      <c r="H12" s="17"/>
      <c r="I12" s="17"/>
    </row>
    <row r="13" spans="1:9" ht="15.75" x14ac:dyDescent="0.25">
      <c r="A13" s="4" t="s">
        <v>14</v>
      </c>
      <c r="B13" s="5">
        <v>1</v>
      </c>
      <c r="C13" s="5">
        <v>1</v>
      </c>
      <c r="D13" s="10">
        <v>1</v>
      </c>
      <c r="E13" s="5">
        <v>1.27</v>
      </c>
      <c r="F13" s="5">
        <v>1.44</v>
      </c>
      <c r="G13" s="5">
        <v>1.78</v>
      </c>
      <c r="H13" s="5">
        <v>2.5</v>
      </c>
      <c r="I13" s="5">
        <v>4.3</v>
      </c>
    </row>
    <row r="14" spans="1:9" ht="15.75" x14ac:dyDescent="0.25">
      <c r="A14" s="4" t="s">
        <v>28</v>
      </c>
      <c r="B14" s="42">
        <f>+(B10*B13)/14</f>
        <v>2.4017857142857139E-2</v>
      </c>
      <c r="C14" s="42">
        <f>+(C10*C13)/20</f>
        <v>1.5583333333333333E-2</v>
      </c>
      <c r="D14" s="43">
        <f>+(D10*D13)/24</f>
        <v>1.3666666666666674E-2</v>
      </c>
      <c r="E14" s="42">
        <f>+(E10*E13)/32</f>
        <v>2.4705468749999994E-2</v>
      </c>
      <c r="F14" s="42">
        <f>+(F10*F13)/36</f>
        <v>2.2466666666666659E-2</v>
      </c>
      <c r="G14" s="42">
        <f>+(G10*G13)/46</f>
        <v>2.7570652173913031E-2</v>
      </c>
      <c r="H14" s="42">
        <f>+(H10*H13)/64</f>
        <v>3.8281250000000003E-2</v>
      </c>
      <c r="I14" s="42">
        <f>+(I10*I13)/100</f>
        <v>3.891499999999997E-2</v>
      </c>
    </row>
    <row r="16" spans="1:9" x14ac:dyDescent="0.25">
      <c r="A16" s="23" t="s">
        <v>42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Normal="100" workbookViewId="0">
      <selection activeCell="D8" sqref="D8"/>
    </sheetView>
  </sheetViews>
  <sheetFormatPr baseColWidth="10" defaultColWidth="9.140625" defaultRowHeight="15" x14ac:dyDescent="0.25"/>
  <cols>
    <col min="1" max="1" width="45" customWidth="1"/>
    <col min="2" max="2" width="8" bestFit="1" customWidth="1"/>
    <col min="3" max="3" width="11.5703125" bestFit="1" customWidth="1"/>
    <col min="4" max="4" width="11.42578125" bestFit="1" customWidth="1"/>
    <col min="5" max="5" width="11.5703125" bestFit="1" customWidth="1"/>
    <col min="6" max="8" width="8" bestFit="1" customWidth="1"/>
    <col min="9" max="9" width="10.7109375" bestFit="1" customWidth="1"/>
  </cols>
  <sheetData>
    <row r="1" spans="1:10" ht="15.75" x14ac:dyDescent="0.25">
      <c r="A1" s="85" t="s">
        <v>48</v>
      </c>
      <c r="B1" s="85"/>
      <c r="C1" s="85"/>
      <c r="D1" s="85"/>
      <c r="E1" s="85"/>
      <c r="F1" s="85"/>
      <c r="G1" s="85"/>
      <c r="H1" s="85"/>
      <c r="I1" s="85"/>
    </row>
    <row r="2" spans="1:10" s="3" customFormat="1" ht="15.75" x14ac:dyDescent="0.25">
      <c r="A2" s="5"/>
      <c r="B2" s="2"/>
      <c r="C2" s="2"/>
      <c r="D2" s="2"/>
      <c r="E2" s="2"/>
      <c r="F2" s="2"/>
      <c r="G2" s="2"/>
      <c r="H2" s="2"/>
      <c r="I2" s="2"/>
    </row>
    <row r="3" spans="1:10" ht="15.75" x14ac:dyDescent="0.25">
      <c r="A3" s="4"/>
      <c r="B3" s="4"/>
      <c r="C3" s="4"/>
      <c r="D3" s="24" t="s">
        <v>16</v>
      </c>
      <c r="E3" s="4"/>
      <c r="F3" s="4"/>
      <c r="G3" s="4"/>
      <c r="H3" s="4"/>
      <c r="I3" s="4"/>
    </row>
    <row r="4" spans="1:10" ht="15.75" x14ac:dyDescent="0.25">
      <c r="A4" s="4" t="s">
        <v>0</v>
      </c>
      <c r="B4" s="5" t="s">
        <v>36</v>
      </c>
      <c r="C4" s="5" t="s">
        <v>41</v>
      </c>
      <c r="D4" s="10" t="s">
        <v>31</v>
      </c>
      <c r="E4" s="5" t="s">
        <v>37</v>
      </c>
      <c r="F4" s="5" t="s">
        <v>32</v>
      </c>
      <c r="G4" s="5" t="s">
        <v>38</v>
      </c>
      <c r="H4" s="5" t="s">
        <v>39</v>
      </c>
      <c r="I4" s="5" t="s">
        <v>40</v>
      </c>
    </row>
    <row r="5" spans="1:10" ht="15.75" x14ac:dyDescent="0.25">
      <c r="A5" s="4" t="s">
        <v>10</v>
      </c>
      <c r="B5" s="12">
        <v>23.72</v>
      </c>
      <c r="C5" s="12">
        <v>15.18</v>
      </c>
      <c r="D5" s="11">
        <v>25.3</v>
      </c>
      <c r="E5" s="12">
        <v>22.88</v>
      </c>
      <c r="F5" s="12">
        <v>22.88</v>
      </c>
      <c r="G5" s="12">
        <v>29.06</v>
      </c>
      <c r="H5" s="12">
        <v>29.84</v>
      </c>
      <c r="I5" s="12">
        <v>30.44</v>
      </c>
    </row>
    <row r="6" spans="1:10" ht="15.75" x14ac:dyDescent="0.25">
      <c r="A6" s="4" t="s">
        <v>30</v>
      </c>
      <c r="B6" s="5">
        <v>24</v>
      </c>
      <c r="C6" s="5">
        <v>12</v>
      </c>
      <c r="D6" s="10">
        <v>20</v>
      </c>
      <c r="E6" s="5">
        <v>12</v>
      </c>
      <c r="F6" s="5">
        <v>12</v>
      </c>
      <c r="G6" s="5">
        <v>12</v>
      </c>
      <c r="H6" s="5">
        <v>9</v>
      </c>
      <c r="I6" s="5">
        <v>6</v>
      </c>
    </row>
    <row r="7" spans="1:10" ht="15.75" x14ac:dyDescent="0.25">
      <c r="A7" s="4" t="s">
        <v>11</v>
      </c>
      <c r="B7" s="46">
        <v>0.98833333333333329</v>
      </c>
      <c r="C7" s="46">
        <v>1.2649999999999999</v>
      </c>
      <c r="D7" s="47">
        <v>1.2650000000000001</v>
      </c>
      <c r="E7" s="46">
        <v>1.9066666666666665</v>
      </c>
      <c r="F7" s="46">
        <v>1.9066666666666665</v>
      </c>
      <c r="G7" s="46">
        <v>2.4216666666666664</v>
      </c>
      <c r="H7" s="46">
        <v>3.3155555555555556</v>
      </c>
      <c r="I7" s="46">
        <v>5.0733333333333333</v>
      </c>
    </row>
    <row r="8" spans="1:10" ht="15.75" x14ac:dyDescent="0.25">
      <c r="A8" s="4" t="s">
        <v>12</v>
      </c>
      <c r="B8" s="12">
        <v>1.49</v>
      </c>
      <c r="C8" s="12">
        <v>1.79</v>
      </c>
      <c r="D8" s="11">
        <v>1.69</v>
      </c>
      <c r="E8" s="12">
        <v>2.59</v>
      </c>
      <c r="F8" s="12">
        <v>2.4900000000000002</v>
      </c>
      <c r="G8" s="12">
        <v>3.09</v>
      </c>
      <c r="H8" s="12">
        <v>4.1900000000000004</v>
      </c>
      <c r="I8" s="12">
        <v>5.99</v>
      </c>
    </row>
    <row r="9" spans="1:10" ht="15.75" x14ac:dyDescent="0.25">
      <c r="A9" s="4" t="s">
        <v>13</v>
      </c>
      <c r="B9" s="14">
        <v>0.50166666666666671</v>
      </c>
      <c r="C9" s="14">
        <v>0.52500000000000013</v>
      </c>
      <c r="D9" s="13">
        <v>0.42499999999999982</v>
      </c>
      <c r="E9" s="14">
        <v>0.68333333333333335</v>
      </c>
      <c r="F9" s="14">
        <v>0.5833333333333337</v>
      </c>
      <c r="G9" s="14">
        <v>0.66833333333333345</v>
      </c>
      <c r="H9" s="14">
        <v>0.8744444444444448</v>
      </c>
      <c r="I9" s="14">
        <v>0.91666666666666696</v>
      </c>
      <c r="J9" s="70"/>
    </row>
    <row r="10" spans="1:10" ht="15.75" x14ac:dyDescent="0.25">
      <c r="A10" s="4" t="s">
        <v>33</v>
      </c>
      <c r="B10" s="41">
        <v>0.33668903803131994</v>
      </c>
      <c r="C10" s="41">
        <v>0.29329608938547491</v>
      </c>
      <c r="D10" s="21">
        <v>0.2514792899408283</v>
      </c>
      <c r="E10" s="41">
        <v>0.26383526383526384</v>
      </c>
      <c r="F10" s="41">
        <v>0.2342704149933067</v>
      </c>
      <c r="G10" s="41">
        <v>0.21628910463861925</v>
      </c>
      <c r="H10" s="41">
        <v>0.20869795810129946</v>
      </c>
      <c r="I10" s="41">
        <v>0.15303283249860883</v>
      </c>
    </row>
    <row r="11" spans="1:10" ht="15.75" x14ac:dyDescent="0.25">
      <c r="A11" s="4"/>
      <c r="B11" s="4"/>
      <c r="C11" s="4"/>
      <c r="D11" s="22"/>
      <c r="E11" s="4"/>
      <c r="F11" s="4"/>
      <c r="G11" s="4"/>
      <c r="H11" s="4"/>
      <c r="I11" s="4"/>
    </row>
    <row r="12" spans="1:10" ht="15.75" x14ac:dyDescent="0.25">
      <c r="A12" s="4" t="s">
        <v>14</v>
      </c>
      <c r="B12" s="5">
        <v>1</v>
      </c>
      <c r="C12" s="5">
        <v>1</v>
      </c>
      <c r="D12" s="10">
        <v>1</v>
      </c>
      <c r="E12" s="5">
        <v>1.27</v>
      </c>
      <c r="F12" s="5">
        <v>1.44</v>
      </c>
      <c r="G12" s="5">
        <v>1.78</v>
      </c>
      <c r="H12" s="5">
        <v>2.5</v>
      </c>
      <c r="I12" s="5">
        <v>4.3</v>
      </c>
    </row>
    <row r="13" spans="1:10" ht="15.75" x14ac:dyDescent="0.25">
      <c r="A13" s="4" t="s">
        <v>28</v>
      </c>
      <c r="B13" s="42">
        <f>+(B9*B12)/14</f>
        <v>3.5833333333333335E-2</v>
      </c>
      <c r="C13" s="42">
        <f>+(C9*C12)/20</f>
        <v>2.6250000000000006E-2</v>
      </c>
      <c r="D13" s="43">
        <f>+(D9*D12)/24</f>
        <v>1.7708333333333326E-2</v>
      </c>
      <c r="E13" s="42">
        <f>+(E9*E12)/32</f>
        <v>2.7119791666666667E-2</v>
      </c>
      <c r="F13" s="42">
        <f>+(F9*F12)/36</f>
        <v>2.3333333333333348E-2</v>
      </c>
      <c r="G13" s="42">
        <f>+(G9*G12)/46</f>
        <v>2.5861594202898554E-2</v>
      </c>
      <c r="H13" s="42">
        <f>+(H9*H12)/64</f>
        <v>3.4157986111111122E-2</v>
      </c>
      <c r="I13" s="42">
        <f>+(I9*I12)/100</f>
        <v>3.9416666666666676E-2</v>
      </c>
    </row>
    <row r="14" spans="1:10" x14ac:dyDescent="0.25">
      <c r="A14" s="23"/>
      <c r="B14" s="23"/>
      <c r="C14" s="23"/>
      <c r="D14" s="23"/>
      <c r="E14" s="23"/>
      <c r="F14" s="23"/>
      <c r="G14" s="23"/>
      <c r="H14" s="23"/>
      <c r="I14" s="23"/>
    </row>
    <row r="15" spans="1:10" x14ac:dyDescent="0.25">
      <c r="A15" s="23" t="s">
        <v>42</v>
      </c>
      <c r="B15" s="23"/>
      <c r="C15" s="23"/>
      <c r="D15" s="23"/>
      <c r="E15" s="23"/>
      <c r="F15" s="23"/>
      <c r="G15" s="23"/>
      <c r="H15" s="23"/>
      <c r="I15" s="23"/>
    </row>
    <row r="16" spans="1:10" x14ac:dyDescent="0.25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20" spans="1:9" x14ac:dyDescent="0.25">
      <c r="A20" s="70"/>
      <c r="B20" s="70"/>
      <c r="C20" s="70"/>
      <c r="D20" s="70"/>
      <c r="E20" s="70"/>
      <c r="F20" s="70"/>
      <c r="G20" s="70"/>
      <c r="H20" s="70"/>
    </row>
    <row r="21" spans="1:9" x14ac:dyDescent="0.25">
      <c r="A21" s="70"/>
      <c r="B21" s="70"/>
      <c r="C21" s="70"/>
      <c r="D21" s="70"/>
      <c r="E21" s="70"/>
      <c r="F21" s="70"/>
      <c r="G21" s="70"/>
      <c r="H21" s="70"/>
    </row>
    <row r="22" spans="1:9" x14ac:dyDescent="0.25">
      <c r="A22" s="70"/>
      <c r="B22" s="70"/>
      <c r="C22" s="70"/>
      <c r="D22" s="70"/>
      <c r="E22" s="70"/>
      <c r="F22" s="70"/>
      <c r="G22" s="70"/>
      <c r="H22" s="70"/>
    </row>
    <row r="23" spans="1:9" x14ac:dyDescent="0.25">
      <c r="A23" s="70"/>
      <c r="B23" s="70"/>
      <c r="C23" s="70"/>
      <c r="D23" s="70"/>
      <c r="E23" s="70"/>
      <c r="F23" s="70"/>
      <c r="G23" s="70"/>
      <c r="H23" s="70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0"/>
  <sheetViews>
    <sheetView zoomScaleNormal="100" workbookViewId="0">
      <selection activeCell="B9" sqref="B9"/>
    </sheetView>
  </sheetViews>
  <sheetFormatPr baseColWidth="10" defaultColWidth="9.140625" defaultRowHeight="15" x14ac:dyDescent="0.25"/>
  <cols>
    <col min="1" max="1" width="48.42578125" customWidth="1"/>
    <col min="2" max="2" width="14.42578125" customWidth="1"/>
  </cols>
  <sheetData>
    <row r="1" spans="1:8" s="2" customFormat="1" ht="15.75" x14ac:dyDescent="0.25">
      <c r="A1" s="86" t="s">
        <v>46</v>
      </c>
      <c r="B1" s="87"/>
      <c r="C1" s="87"/>
      <c r="G1" s="5"/>
      <c r="H1" s="5"/>
    </row>
    <row r="2" spans="1:8" s="2" customFormat="1" ht="15.75" x14ac:dyDescent="0.25">
      <c r="A2" s="5"/>
      <c r="G2" s="5"/>
      <c r="H2" s="5"/>
    </row>
    <row r="3" spans="1:8" ht="15.75" x14ac:dyDescent="0.25">
      <c r="A3" s="4"/>
      <c r="B3" s="19" t="s">
        <v>16</v>
      </c>
      <c r="C3" s="66"/>
      <c r="D3" s="4"/>
      <c r="E3" s="4"/>
      <c r="F3" s="4"/>
      <c r="G3" s="4"/>
      <c r="H3" s="4"/>
    </row>
    <row r="4" spans="1:8" ht="15.75" x14ac:dyDescent="0.25">
      <c r="A4" s="4" t="s">
        <v>0</v>
      </c>
      <c r="B4" s="10" t="s">
        <v>31</v>
      </c>
      <c r="C4" s="67" t="s">
        <v>32</v>
      </c>
      <c r="D4" s="4"/>
      <c r="E4" s="4"/>
      <c r="F4" s="4"/>
      <c r="G4" s="4"/>
      <c r="H4" s="4"/>
    </row>
    <row r="5" spans="1:8" ht="15.75" x14ac:dyDescent="0.25">
      <c r="A5" s="4" t="s">
        <v>24</v>
      </c>
      <c r="B5" s="11">
        <v>18.739999999999998</v>
      </c>
      <c r="C5" s="68">
        <v>16.14</v>
      </c>
      <c r="D5" s="4"/>
      <c r="E5" s="4"/>
      <c r="F5" s="4"/>
      <c r="G5" s="4"/>
      <c r="H5" s="4"/>
    </row>
    <row r="6" spans="1:8" ht="15.75" x14ac:dyDescent="0.25">
      <c r="A6" s="4" t="s">
        <v>18</v>
      </c>
      <c r="B6" s="11">
        <v>25.3</v>
      </c>
      <c r="C6" s="68">
        <v>22.88</v>
      </c>
      <c r="D6" s="4"/>
      <c r="E6" s="4"/>
      <c r="F6" s="4"/>
      <c r="G6" s="4"/>
      <c r="H6" s="4"/>
    </row>
    <row r="7" spans="1:8" ht="15.75" x14ac:dyDescent="0.25">
      <c r="A7" s="4" t="s">
        <v>30</v>
      </c>
      <c r="B7" s="10">
        <v>20</v>
      </c>
      <c r="C7" s="67">
        <v>12</v>
      </c>
      <c r="D7" s="4"/>
      <c r="E7" s="4"/>
      <c r="F7" s="4"/>
      <c r="G7" s="4"/>
      <c r="H7" s="4"/>
    </row>
    <row r="8" spans="1:8" ht="15.75" x14ac:dyDescent="0.25">
      <c r="A8" s="4" t="s">
        <v>17</v>
      </c>
      <c r="B8" s="11">
        <v>6</v>
      </c>
      <c r="C8" s="68">
        <v>6.5</v>
      </c>
      <c r="D8" s="4"/>
      <c r="E8" s="4"/>
      <c r="F8" s="4"/>
      <c r="G8" s="4"/>
      <c r="H8" s="4"/>
    </row>
    <row r="9" spans="1:8" ht="15.75" x14ac:dyDescent="0.25">
      <c r="A9" s="4" t="s">
        <v>12</v>
      </c>
      <c r="B9" s="13">
        <f>+(B6-B8)/20</f>
        <v>0.96500000000000008</v>
      </c>
      <c r="C9" s="14">
        <v>1.365</v>
      </c>
      <c r="D9" s="4"/>
      <c r="E9" s="4"/>
      <c r="F9" s="4"/>
      <c r="G9" s="4"/>
      <c r="H9" s="4"/>
    </row>
    <row r="10" spans="1:8" ht="15.75" x14ac:dyDescent="0.25">
      <c r="A10" s="4" t="s">
        <v>13</v>
      </c>
      <c r="B10" s="80">
        <f>+B9-(B5/20)</f>
        <v>2.8000000000000136E-2</v>
      </c>
      <c r="C10" s="81">
        <f>+C9-(C5/12)</f>
        <v>2.0000000000000018E-2</v>
      </c>
      <c r="D10" s="4"/>
      <c r="E10" s="4"/>
      <c r="F10" s="4"/>
      <c r="G10" s="4"/>
      <c r="H10" s="4"/>
    </row>
    <row r="11" spans="1:8" ht="15.75" x14ac:dyDescent="0.25">
      <c r="A11" s="4" t="s">
        <v>29</v>
      </c>
      <c r="B11" s="16">
        <f>+B10/B9</f>
        <v>2.9015544041450916E-2</v>
      </c>
      <c r="C11" s="77">
        <f>+C10/C9</f>
        <v>1.4652014652014666E-2</v>
      </c>
      <c r="D11" s="4"/>
      <c r="E11" s="4"/>
      <c r="F11" s="4"/>
      <c r="G11" s="4"/>
      <c r="H11" s="4"/>
    </row>
    <row r="12" spans="1:8" ht="15.75" x14ac:dyDescent="0.25">
      <c r="A12" s="4"/>
      <c r="B12" s="10"/>
      <c r="C12" s="67"/>
      <c r="D12" s="4"/>
      <c r="E12" s="4"/>
      <c r="F12" s="4"/>
      <c r="G12" s="4"/>
      <c r="H12" s="4"/>
    </row>
    <row r="13" spans="1:8" ht="15.75" x14ac:dyDescent="0.25">
      <c r="A13" s="4"/>
      <c r="B13" s="10"/>
      <c r="C13" s="67"/>
      <c r="D13" s="4"/>
      <c r="E13" s="4"/>
      <c r="F13" s="4"/>
      <c r="G13" s="4"/>
      <c r="H13" s="4"/>
    </row>
    <row r="14" spans="1:8" ht="15.75" x14ac:dyDescent="0.25">
      <c r="A14" s="4" t="s">
        <v>14</v>
      </c>
      <c r="B14" s="10">
        <v>1</v>
      </c>
      <c r="C14" s="67">
        <v>1.44</v>
      </c>
      <c r="D14" s="4"/>
      <c r="E14" s="4"/>
      <c r="F14" s="4"/>
      <c r="G14" s="4"/>
      <c r="H14" s="4"/>
    </row>
    <row r="15" spans="1:8" ht="15.75" x14ac:dyDescent="0.25">
      <c r="A15" s="4" t="s">
        <v>28</v>
      </c>
      <c r="B15" s="15">
        <f>+(B10*B14)/24</f>
        <v>1.1666666666666724E-3</v>
      </c>
      <c r="C15" s="69">
        <f>+(C10*C14)/36</f>
        <v>8.0000000000000069E-4</v>
      </c>
      <c r="D15" s="4"/>
      <c r="E15" s="4"/>
      <c r="F15" s="4"/>
      <c r="G15" s="4"/>
      <c r="H15" s="4"/>
    </row>
    <row r="17" spans="1:6" x14ac:dyDescent="0.25">
      <c r="A17" s="23" t="s">
        <v>42</v>
      </c>
    </row>
    <row r="18" spans="1:6" x14ac:dyDescent="0.25">
      <c r="A18" s="3"/>
    </row>
    <row r="20" spans="1:6" ht="15.75" x14ac:dyDescent="0.25">
      <c r="A20" s="86"/>
      <c r="B20" s="87"/>
      <c r="C20" s="87"/>
      <c r="D20" s="87"/>
      <c r="E20" s="87"/>
      <c r="F20" s="87"/>
    </row>
  </sheetData>
  <mergeCells count="2">
    <mergeCell ref="A20:F20"/>
    <mergeCell ref="A1:C1"/>
  </mergeCells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9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41.28515625" customWidth="1"/>
    <col min="2" max="2" width="14.42578125" customWidth="1"/>
  </cols>
  <sheetData>
    <row r="1" spans="1:7" s="3" customFormat="1" ht="15.75" x14ac:dyDescent="0.25">
      <c r="A1" s="85" t="s">
        <v>49</v>
      </c>
      <c r="B1" s="85"/>
      <c r="C1" s="85"/>
      <c r="D1" s="2"/>
      <c r="E1" s="2"/>
      <c r="F1" s="2"/>
      <c r="G1" s="2"/>
    </row>
    <row r="2" spans="1:7" s="3" customFormat="1" x14ac:dyDescent="0.25">
      <c r="A2" s="2"/>
      <c r="B2" s="2"/>
      <c r="C2" s="2"/>
      <c r="D2" s="2"/>
      <c r="E2" s="2"/>
      <c r="F2" s="2"/>
      <c r="G2" s="18"/>
    </row>
    <row r="3" spans="1:7" ht="15.75" x14ac:dyDescent="0.25">
      <c r="A3" s="4"/>
      <c r="B3" s="19" t="s">
        <v>16</v>
      </c>
      <c r="C3" s="66"/>
      <c r="D3" s="66"/>
      <c r="E3" s="4"/>
      <c r="F3" s="4"/>
      <c r="G3" s="4"/>
    </row>
    <row r="4" spans="1:7" ht="15.75" x14ac:dyDescent="0.25">
      <c r="A4" s="4" t="s">
        <v>0</v>
      </c>
      <c r="B4" s="10" t="s">
        <v>31</v>
      </c>
      <c r="C4" s="67" t="s">
        <v>32</v>
      </c>
      <c r="D4" s="66"/>
      <c r="E4" s="4"/>
      <c r="F4" s="4"/>
      <c r="G4" s="4"/>
    </row>
    <row r="5" spans="1:7" ht="15.75" x14ac:dyDescent="0.25">
      <c r="A5" s="4" t="s">
        <v>10</v>
      </c>
      <c r="B5" s="11">
        <v>19.3</v>
      </c>
      <c r="C5" s="68">
        <v>16.38</v>
      </c>
      <c r="D5" s="66"/>
      <c r="E5" s="4"/>
      <c r="F5" s="4"/>
      <c r="G5" s="4"/>
    </row>
    <row r="6" spans="1:7" ht="15.75" x14ac:dyDescent="0.25">
      <c r="A6" s="4" t="s">
        <v>30</v>
      </c>
      <c r="B6" s="10">
        <v>20</v>
      </c>
      <c r="C6" s="67">
        <v>12</v>
      </c>
      <c r="D6" s="66"/>
      <c r="E6" s="4"/>
      <c r="F6" s="4"/>
      <c r="G6" s="4"/>
    </row>
    <row r="7" spans="1:7" ht="15.75" x14ac:dyDescent="0.25">
      <c r="A7" s="4" t="s">
        <v>11</v>
      </c>
      <c r="B7" s="13">
        <v>0.96500000000000008</v>
      </c>
      <c r="C7" s="14">
        <v>1.365</v>
      </c>
      <c r="D7" s="66"/>
      <c r="E7" s="4"/>
      <c r="F7" s="4"/>
      <c r="G7" s="4"/>
    </row>
    <row r="8" spans="1:7" ht="15.75" x14ac:dyDescent="0.25">
      <c r="A8" s="4" t="s">
        <v>12</v>
      </c>
      <c r="B8" s="11">
        <v>0.99</v>
      </c>
      <c r="C8" s="68">
        <v>1.5</v>
      </c>
      <c r="D8" s="66"/>
      <c r="E8" s="4"/>
      <c r="F8" s="4"/>
      <c r="G8" s="4"/>
    </row>
    <row r="9" spans="1:7" ht="15.75" x14ac:dyDescent="0.25">
      <c r="A9" s="4" t="s">
        <v>13</v>
      </c>
      <c r="B9" s="13">
        <v>2.4999999999999911E-2</v>
      </c>
      <c r="C9" s="14">
        <f>+B8-B7</f>
        <v>2.4999999999999911E-2</v>
      </c>
      <c r="D9" s="66"/>
      <c r="E9" s="4"/>
      <c r="F9" s="4"/>
      <c r="G9" s="4"/>
    </row>
    <row r="10" spans="1:7" ht="15.75" x14ac:dyDescent="0.25">
      <c r="A10" s="4" t="s">
        <v>33</v>
      </c>
      <c r="B10" s="21">
        <f>+B9/B8</f>
        <v>2.5252525252525162E-2</v>
      </c>
      <c r="C10" s="48">
        <f>+C9/C8</f>
        <v>1.6666666666666607E-2</v>
      </c>
      <c r="D10" s="66"/>
      <c r="E10" s="4"/>
      <c r="F10" s="4"/>
      <c r="G10" s="4"/>
    </row>
    <row r="11" spans="1:7" ht="15.75" x14ac:dyDescent="0.25">
      <c r="A11" s="4"/>
      <c r="B11" s="22"/>
      <c r="C11" s="66"/>
      <c r="D11" s="66"/>
      <c r="E11" s="4"/>
      <c r="F11" s="4"/>
      <c r="G11" s="4"/>
    </row>
    <row r="12" spans="1:7" ht="15.75" x14ac:dyDescent="0.25">
      <c r="A12" s="4" t="s">
        <v>14</v>
      </c>
      <c r="B12" s="10">
        <v>1</v>
      </c>
      <c r="C12" s="67">
        <v>1.44</v>
      </c>
      <c r="D12" s="66"/>
      <c r="E12" s="4"/>
      <c r="F12" s="4"/>
      <c r="G12" s="4"/>
    </row>
    <row r="13" spans="1:7" ht="15.75" x14ac:dyDescent="0.25">
      <c r="A13" s="4" t="s">
        <v>27</v>
      </c>
      <c r="B13" s="15">
        <f>+(B9*B12)/24</f>
        <v>1.041666666666663E-3</v>
      </c>
      <c r="C13" s="69">
        <f>+(C9*C12)/36</f>
        <v>9.9999999999999655E-4</v>
      </c>
      <c r="D13" s="66"/>
      <c r="E13" s="4"/>
      <c r="F13" s="4"/>
    </row>
    <row r="14" spans="1:7" x14ac:dyDescent="0.25">
      <c r="C14" s="70"/>
      <c r="D14" s="70"/>
    </row>
    <row r="15" spans="1:7" x14ac:dyDescent="0.25">
      <c r="A15" s="23" t="s">
        <v>42</v>
      </c>
      <c r="C15" s="70"/>
      <c r="D15" s="65"/>
      <c r="E15" s="1"/>
      <c r="F15" s="1"/>
    </row>
    <row r="19" spans="1:1" x14ac:dyDescent="0.25">
      <c r="A19" s="3"/>
    </row>
  </sheetData>
  <mergeCells count="1">
    <mergeCell ref="A1:C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="90" zoomScaleNormal="90" workbookViewId="0">
      <selection activeCell="B26" sqref="B26"/>
    </sheetView>
  </sheetViews>
  <sheetFormatPr baseColWidth="10" defaultColWidth="9.140625" defaultRowHeight="15" x14ac:dyDescent="0.25"/>
  <cols>
    <col min="1" max="1" width="39.85546875" style="30" customWidth="1"/>
    <col min="2" max="3" width="17.85546875" style="30" bestFit="1" customWidth="1"/>
    <col min="4" max="4" width="19" style="30" bestFit="1" customWidth="1"/>
    <col min="5" max="5" width="20.140625" style="30" bestFit="1" customWidth="1"/>
    <col min="6" max="16384" width="9.140625" style="30"/>
  </cols>
  <sheetData>
    <row r="1" spans="1:7" ht="15.75" x14ac:dyDescent="0.25">
      <c r="A1" s="88" t="s">
        <v>44</v>
      </c>
      <c r="B1" s="89"/>
      <c r="C1" s="89"/>
      <c r="D1" s="89"/>
      <c r="E1" s="89"/>
    </row>
    <row r="2" spans="1:7" ht="15.75" x14ac:dyDescent="0.25">
      <c r="A2" s="31"/>
      <c r="B2" s="51"/>
      <c r="C2" s="51"/>
      <c r="D2" s="51"/>
      <c r="F2" s="31"/>
      <c r="G2" s="31"/>
    </row>
    <row r="3" spans="1:7" ht="15.75" x14ac:dyDescent="0.25">
      <c r="A3" s="31"/>
      <c r="B3" s="53" t="s">
        <v>19</v>
      </c>
      <c r="C3" s="53" t="s">
        <v>20</v>
      </c>
      <c r="D3" s="54" t="s">
        <v>21</v>
      </c>
      <c r="E3" s="52" t="s">
        <v>23</v>
      </c>
      <c r="F3" s="31"/>
      <c r="G3" s="31"/>
    </row>
    <row r="4" spans="1:7" ht="15.75" x14ac:dyDescent="0.25">
      <c r="A4" s="31" t="s">
        <v>24</v>
      </c>
      <c r="B4" s="55">
        <v>20.51</v>
      </c>
      <c r="C4" s="55">
        <v>20.51</v>
      </c>
      <c r="D4" s="55">
        <v>20.51</v>
      </c>
      <c r="E4" s="56">
        <v>18.739999999999998</v>
      </c>
      <c r="F4" s="31"/>
      <c r="G4" s="31"/>
    </row>
    <row r="5" spans="1:7" ht="15.75" x14ac:dyDescent="0.25">
      <c r="A5" s="31" t="s">
        <v>18</v>
      </c>
      <c r="B5" s="55">
        <v>29.06</v>
      </c>
      <c r="C5" s="55">
        <v>29.06</v>
      </c>
      <c r="D5" s="55">
        <v>29.06</v>
      </c>
      <c r="E5" s="57">
        <v>25.3</v>
      </c>
      <c r="F5" s="31"/>
      <c r="G5" s="31"/>
    </row>
    <row r="6" spans="1:7" ht="15.75" x14ac:dyDescent="0.25">
      <c r="A6" s="31" t="s">
        <v>30</v>
      </c>
      <c r="B6" s="58">
        <v>12</v>
      </c>
      <c r="C6" s="58">
        <v>12</v>
      </c>
      <c r="D6" s="58">
        <v>12</v>
      </c>
      <c r="E6" s="59">
        <v>20</v>
      </c>
      <c r="F6" s="31"/>
      <c r="G6" s="31"/>
    </row>
    <row r="7" spans="1:7" ht="15.75" x14ac:dyDescent="0.25">
      <c r="A7" s="31" t="s">
        <v>17</v>
      </c>
      <c r="B7" s="55">
        <v>6.5</v>
      </c>
      <c r="C7" s="55">
        <v>8</v>
      </c>
      <c r="D7" s="55">
        <v>10</v>
      </c>
      <c r="E7" s="57">
        <v>6</v>
      </c>
      <c r="F7" s="31"/>
      <c r="G7" s="31"/>
    </row>
    <row r="8" spans="1:7" ht="15.75" x14ac:dyDescent="0.25">
      <c r="A8" s="31" t="s">
        <v>4</v>
      </c>
      <c r="B8" s="60">
        <f>+B4/12</f>
        <v>1.7091666666666667</v>
      </c>
      <c r="C8" s="60">
        <f t="shared" ref="C8:D8" si="0">+C4/12</f>
        <v>1.7091666666666667</v>
      </c>
      <c r="D8" s="60">
        <f t="shared" si="0"/>
        <v>1.7091666666666667</v>
      </c>
      <c r="E8" s="57">
        <f>+E4/E6</f>
        <v>0.93699999999999994</v>
      </c>
      <c r="F8" s="31"/>
      <c r="G8" s="31"/>
    </row>
    <row r="9" spans="1:7" ht="15.75" x14ac:dyDescent="0.25">
      <c r="A9" s="31" t="s">
        <v>6</v>
      </c>
      <c r="B9" s="60">
        <f>+B5/12</f>
        <v>2.4216666666666664</v>
      </c>
      <c r="C9" s="60">
        <f t="shared" ref="C9:D9" si="1">+C5/12</f>
        <v>2.4216666666666664</v>
      </c>
      <c r="D9" s="60">
        <f t="shared" si="1"/>
        <v>2.4216666666666664</v>
      </c>
      <c r="E9" s="57">
        <f>+E5/E6</f>
        <v>1.2650000000000001</v>
      </c>
      <c r="F9" s="31"/>
      <c r="G9" s="31"/>
    </row>
    <row r="10" spans="1:7" ht="15.75" x14ac:dyDescent="0.25">
      <c r="A10" s="31" t="s">
        <v>7</v>
      </c>
      <c r="B10" s="60">
        <f>+(B5-B7)/B6</f>
        <v>1.88</v>
      </c>
      <c r="C10" s="60">
        <f t="shared" ref="C10:D10" si="2">+(C5-C7)/C6</f>
        <v>1.7549999999999999</v>
      </c>
      <c r="D10" s="60">
        <f t="shared" si="2"/>
        <v>1.5883333333333332</v>
      </c>
      <c r="E10" s="57">
        <f>+(E5-E7)/E6</f>
        <v>0.96500000000000008</v>
      </c>
      <c r="F10" s="31"/>
      <c r="G10" s="31"/>
    </row>
    <row r="11" spans="1:7" ht="15.75" x14ac:dyDescent="0.25">
      <c r="A11" s="31" t="s">
        <v>8</v>
      </c>
      <c r="B11" s="61">
        <v>0.71249999999999969</v>
      </c>
      <c r="C11" s="61">
        <v>0.71249999999999969</v>
      </c>
      <c r="D11" s="61">
        <v>0.71249999999999969</v>
      </c>
      <c r="E11" s="57">
        <f>+E9-E8</f>
        <v>0.32800000000000018</v>
      </c>
      <c r="F11" s="31"/>
      <c r="G11" s="31"/>
    </row>
    <row r="12" spans="1:7" ht="15.75" x14ac:dyDescent="0.25">
      <c r="A12" s="31" t="s">
        <v>9</v>
      </c>
      <c r="B12" s="61">
        <v>0.17083333333333317</v>
      </c>
      <c r="C12" s="61">
        <v>4.5833333333333171E-2</v>
      </c>
      <c r="D12" s="61">
        <v>-0.12083333333333357</v>
      </c>
      <c r="E12" s="57">
        <f>+E10-E8</f>
        <v>2.8000000000000136E-2</v>
      </c>
      <c r="F12" s="31"/>
      <c r="G12" s="31"/>
    </row>
    <row r="13" spans="1:7" ht="15.75" x14ac:dyDescent="0.25">
      <c r="A13" s="31" t="s">
        <v>25</v>
      </c>
      <c r="B13" s="62">
        <v>0.29421885753613203</v>
      </c>
      <c r="C13" s="62">
        <v>0.29421885753613203</v>
      </c>
      <c r="D13" s="62">
        <v>0.29421885753613203</v>
      </c>
      <c r="E13" s="63">
        <f>+E11/E9</f>
        <v>0.25928853754940723</v>
      </c>
      <c r="F13" s="31"/>
      <c r="G13" s="31"/>
    </row>
    <row r="14" spans="1:7" ht="15.75" x14ac:dyDescent="0.25">
      <c r="A14" s="31" t="s">
        <v>26</v>
      </c>
      <c r="B14" s="62">
        <v>9.0868794326241051E-2</v>
      </c>
      <c r="C14" s="62">
        <v>2.6115859449192692E-2</v>
      </c>
      <c r="D14" s="62">
        <v>-7.6075550891920404E-2</v>
      </c>
      <c r="E14" s="63">
        <f>+E12/E10</f>
        <v>2.9015544041450916E-2</v>
      </c>
      <c r="F14" s="31"/>
      <c r="G14" s="31"/>
    </row>
    <row r="15" spans="1:7" x14ac:dyDescent="0.25">
      <c r="B15" s="64"/>
      <c r="C15" s="64"/>
      <c r="D15" s="64"/>
      <c r="E15" s="64"/>
    </row>
    <row r="16" spans="1:7" ht="15.75" x14ac:dyDescent="0.25">
      <c r="A16" s="31"/>
      <c r="B16" s="31"/>
      <c r="C16" s="31"/>
      <c r="D16" s="31"/>
      <c r="E16" s="31"/>
      <c r="F16" s="31"/>
      <c r="G16" s="31"/>
    </row>
    <row r="17" spans="1:7" ht="15.75" x14ac:dyDescent="0.25">
      <c r="A17" s="31" t="s">
        <v>14</v>
      </c>
      <c r="B17" s="32">
        <v>1.78</v>
      </c>
      <c r="C17" s="32">
        <v>1.78</v>
      </c>
      <c r="D17" s="32">
        <v>1.78</v>
      </c>
      <c r="E17" s="32">
        <v>1</v>
      </c>
      <c r="F17" s="31"/>
      <c r="G17" s="31"/>
    </row>
    <row r="18" spans="1:7" ht="15.75" x14ac:dyDescent="0.25">
      <c r="A18" s="49" t="s">
        <v>27</v>
      </c>
      <c r="B18" s="33">
        <f>+(B12*B17)/46</f>
        <v>6.6105072463768051E-3</v>
      </c>
      <c r="C18" s="33">
        <f t="shared" ref="C18:D18" si="3">+(C12*C17)/46</f>
        <v>1.773550724637675E-3</v>
      </c>
      <c r="D18" s="33">
        <f t="shared" si="3"/>
        <v>-4.6757246376811692E-3</v>
      </c>
      <c r="E18" s="33">
        <f>+(E12*E17)/24</f>
        <v>1.1666666666666724E-3</v>
      </c>
      <c r="F18" s="31"/>
      <c r="G18" s="31"/>
    </row>
    <row r="20" spans="1:7" x14ac:dyDescent="0.25">
      <c r="A20" s="50" t="s">
        <v>42</v>
      </c>
    </row>
    <row r="21" spans="1:7" x14ac:dyDescent="0.25">
      <c r="A21" s="34"/>
      <c r="B21" s="34"/>
      <c r="C21" s="34"/>
      <c r="D21" s="34"/>
      <c r="E21" s="34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="90" zoomScaleNormal="90" workbookViewId="0">
      <selection activeCell="C31" sqref="C31"/>
    </sheetView>
  </sheetViews>
  <sheetFormatPr baseColWidth="10" defaultColWidth="9.140625" defaultRowHeight="15" x14ac:dyDescent="0.25"/>
  <cols>
    <col min="1" max="1" width="39" customWidth="1"/>
    <col min="2" max="2" width="17.5703125" customWidth="1"/>
    <col min="3" max="3" width="18" customWidth="1"/>
    <col min="4" max="4" width="19.7109375" customWidth="1"/>
    <col min="5" max="5" width="20.140625" bestFit="1" customWidth="1"/>
  </cols>
  <sheetData>
    <row r="1" spans="1:7" ht="15.75" x14ac:dyDescent="0.25">
      <c r="A1" s="86" t="s">
        <v>45</v>
      </c>
      <c r="B1" s="87"/>
      <c r="C1" s="87"/>
      <c r="D1" s="87"/>
      <c r="E1" s="87"/>
      <c r="F1" s="4"/>
      <c r="G1" s="3"/>
    </row>
    <row r="2" spans="1:7" ht="15.75" x14ac:dyDescent="0.25">
      <c r="A2" s="4"/>
      <c r="B2" s="4"/>
      <c r="C2" s="4"/>
      <c r="D2" s="4"/>
      <c r="E2" s="4"/>
      <c r="F2" s="4"/>
    </row>
    <row r="3" spans="1:7" ht="15.75" x14ac:dyDescent="0.25">
      <c r="A3" s="28"/>
      <c r="B3" s="8" t="s">
        <v>19</v>
      </c>
      <c r="C3" s="8" t="s">
        <v>20</v>
      </c>
      <c r="D3" s="9" t="s">
        <v>21</v>
      </c>
      <c r="E3" s="29" t="s">
        <v>23</v>
      </c>
      <c r="F3" s="4"/>
    </row>
    <row r="4" spans="1:7" ht="15.75" x14ac:dyDescent="0.25">
      <c r="A4" s="4" t="s">
        <v>1</v>
      </c>
      <c r="B4" s="68">
        <v>29.06</v>
      </c>
      <c r="C4" s="68">
        <v>29.06</v>
      </c>
      <c r="D4" s="68">
        <v>29.06</v>
      </c>
      <c r="E4" s="72">
        <v>25.3</v>
      </c>
      <c r="F4" s="4"/>
    </row>
    <row r="5" spans="1:7" ht="15.75" x14ac:dyDescent="0.25">
      <c r="A5" s="4" t="s">
        <v>2</v>
      </c>
      <c r="B5" s="68">
        <v>22.56</v>
      </c>
      <c r="C5" s="68">
        <v>21.06</v>
      </c>
      <c r="D5" s="68">
        <v>19.059999999999999</v>
      </c>
      <c r="E5" s="72">
        <v>19.3</v>
      </c>
      <c r="F5" s="4"/>
    </row>
    <row r="6" spans="1:7" ht="15.75" x14ac:dyDescent="0.25">
      <c r="A6" s="4" t="s">
        <v>3</v>
      </c>
      <c r="B6" s="67">
        <v>12</v>
      </c>
      <c r="C6" s="67">
        <v>12</v>
      </c>
      <c r="D6" s="67">
        <v>12</v>
      </c>
      <c r="E6" s="73">
        <v>20</v>
      </c>
      <c r="F6" s="4"/>
    </row>
    <row r="7" spans="1:7" ht="15.75" x14ac:dyDescent="0.25">
      <c r="A7" s="4" t="s">
        <v>4</v>
      </c>
      <c r="B7" s="14">
        <f>+B4/B6</f>
        <v>2.4216666666666664</v>
      </c>
      <c r="C7" s="14">
        <f t="shared" ref="C7:D7" si="0">+C4/C6</f>
        <v>2.4216666666666664</v>
      </c>
      <c r="D7" s="14">
        <f t="shared" si="0"/>
        <v>2.4216666666666664</v>
      </c>
      <c r="E7" s="74">
        <f>+E4/E6</f>
        <v>1.2650000000000001</v>
      </c>
      <c r="F7" s="4"/>
    </row>
    <row r="8" spans="1:7" ht="15.75" x14ac:dyDescent="0.25">
      <c r="A8" s="4" t="s">
        <v>5</v>
      </c>
      <c r="B8" s="14">
        <f>+B5/B6</f>
        <v>1.88</v>
      </c>
      <c r="C8" s="14">
        <f t="shared" ref="C8:D8" si="1">+C5/C6</f>
        <v>1.7549999999999999</v>
      </c>
      <c r="D8" s="14">
        <f t="shared" si="1"/>
        <v>1.5883333333333332</v>
      </c>
      <c r="E8" s="74">
        <f>+E5/E6</f>
        <v>0.96500000000000008</v>
      </c>
      <c r="F8" s="4"/>
    </row>
    <row r="9" spans="1:7" ht="15.75" x14ac:dyDescent="0.25">
      <c r="A9" s="4" t="s">
        <v>6</v>
      </c>
      <c r="B9" s="68">
        <v>3.09</v>
      </c>
      <c r="C9" s="68">
        <v>3.09</v>
      </c>
      <c r="D9" s="68">
        <v>3.09</v>
      </c>
      <c r="E9" s="72">
        <v>1.69</v>
      </c>
      <c r="F9" s="4"/>
    </row>
    <row r="10" spans="1:7" ht="15.75" x14ac:dyDescent="0.25">
      <c r="A10" s="6" t="s">
        <v>22</v>
      </c>
      <c r="B10" s="25">
        <v>1.99</v>
      </c>
      <c r="C10" s="25">
        <v>1.99</v>
      </c>
      <c r="D10" s="25">
        <v>1.99</v>
      </c>
      <c r="E10" s="72">
        <v>0.99</v>
      </c>
      <c r="F10" s="4"/>
    </row>
    <row r="11" spans="1:7" ht="15.75" x14ac:dyDescent="0.25">
      <c r="A11" s="4" t="s">
        <v>8</v>
      </c>
      <c r="B11" s="71">
        <v>0.66833333333333345</v>
      </c>
      <c r="C11" s="71">
        <v>0.66833333333333345</v>
      </c>
      <c r="D11" s="71">
        <v>0.66833333333333345</v>
      </c>
      <c r="E11" s="75">
        <f>+E9-E7</f>
        <v>0.42499999999999982</v>
      </c>
      <c r="F11" s="4"/>
    </row>
    <row r="12" spans="1:7" ht="15.75" x14ac:dyDescent="0.25">
      <c r="A12" s="4" t="s">
        <v>9</v>
      </c>
      <c r="B12" s="71">
        <v>0.1100000000000001</v>
      </c>
      <c r="C12" s="71">
        <v>0.2350000000000001</v>
      </c>
      <c r="D12" s="71">
        <v>0.40166666666666684</v>
      </c>
      <c r="E12" s="74">
        <f>+E10-E8</f>
        <v>2.4999999999999911E-2</v>
      </c>
      <c r="F12" s="4"/>
    </row>
    <row r="13" spans="1:7" ht="15.75" x14ac:dyDescent="0.25">
      <c r="A13" s="4" t="s">
        <v>25</v>
      </c>
      <c r="B13" s="48">
        <v>0.21628910463861925</v>
      </c>
      <c r="C13" s="48">
        <v>0.21628910463861925</v>
      </c>
      <c r="D13" s="48">
        <v>0.21628910463861925</v>
      </c>
      <c r="E13" s="76">
        <f>+E12/E9</f>
        <v>1.4792899408283971E-2</v>
      </c>
      <c r="F13" s="4"/>
    </row>
    <row r="14" spans="1:7" ht="15.75" x14ac:dyDescent="0.25">
      <c r="A14" s="4" t="s">
        <v>34</v>
      </c>
      <c r="B14" s="48">
        <v>5.5276381909547791E-2</v>
      </c>
      <c r="C14" s="48">
        <v>0.11809045226130659</v>
      </c>
      <c r="D14" s="48">
        <v>0.20184254606365168</v>
      </c>
      <c r="E14" s="76">
        <f>+E12/E10</f>
        <v>2.5252525252525162E-2</v>
      </c>
      <c r="F14" s="4"/>
    </row>
    <row r="15" spans="1:7" ht="15.75" x14ac:dyDescent="0.25">
      <c r="A15" s="4"/>
      <c r="B15" s="66"/>
      <c r="C15" s="66"/>
      <c r="D15" s="66"/>
      <c r="E15" s="66"/>
      <c r="F15" s="4"/>
    </row>
    <row r="16" spans="1:7" ht="15.75" x14ac:dyDescent="0.25">
      <c r="A16" s="4"/>
      <c r="B16" s="4"/>
      <c r="C16" s="4"/>
      <c r="D16" s="4"/>
      <c r="E16" s="4"/>
      <c r="F16" s="4"/>
    </row>
    <row r="17" spans="1:6" ht="15.75" x14ac:dyDescent="0.25">
      <c r="A17" s="4" t="s">
        <v>14</v>
      </c>
      <c r="B17" s="5">
        <v>1.78</v>
      </c>
      <c r="C17" s="5">
        <v>1.78</v>
      </c>
      <c r="D17" s="5">
        <v>1.78</v>
      </c>
      <c r="E17" s="26">
        <v>1</v>
      </c>
      <c r="F17" s="4"/>
    </row>
    <row r="18" spans="1:6" ht="15.75" x14ac:dyDescent="0.25">
      <c r="A18" s="6" t="s">
        <v>15</v>
      </c>
      <c r="B18" s="7">
        <f>+(B12*B17)/46</f>
        <v>4.2565217391304384E-3</v>
      </c>
      <c r="C18" s="7">
        <f t="shared" ref="C18:D18" si="2">+(C12*C17)/46</f>
        <v>9.0934782608695693E-3</v>
      </c>
      <c r="D18" s="7">
        <f t="shared" si="2"/>
        <v>1.5542753623188412E-2</v>
      </c>
      <c r="E18" s="27">
        <f>+(E12*E17)/24</f>
        <v>1.041666666666663E-3</v>
      </c>
      <c r="F18" s="4"/>
    </row>
    <row r="19" spans="1:6" ht="15.75" x14ac:dyDescent="0.25">
      <c r="A19" s="4"/>
      <c r="B19" s="4"/>
      <c r="C19" s="4"/>
      <c r="D19" s="4"/>
      <c r="E19" s="4"/>
      <c r="F19" s="4"/>
    </row>
    <row r="20" spans="1:6" s="78" customFormat="1" ht="29.25" customHeight="1" x14ac:dyDescent="0.25">
      <c r="A20" s="90" t="s">
        <v>50</v>
      </c>
      <c r="B20" s="90"/>
      <c r="C20" s="90"/>
      <c r="D20" s="90"/>
      <c r="E20" s="90"/>
      <c r="F20" s="79"/>
    </row>
    <row r="21" spans="1:6" ht="15.75" x14ac:dyDescent="0.25">
      <c r="A21" s="23"/>
      <c r="B21" s="23"/>
      <c r="C21" s="23"/>
      <c r="D21" s="23"/>
      <c r="E21" s="23"/>
      <c r="F21" s="4"/>
    </row>
    <row r="22" spans="1:6" ht="15.75" x14ac:dyDescent="0.25">
      <c r="A22" s="23" t="s">
        <v>42</v>
      </c>
      <c r="B22" s="4"/>
      <c r="C22" s="4"/>
      <c r="D22" s="4"/>
      <c r="E22" s="4"/>
      <c r="F22" s="4"/>
    </row>
  </sheetData>
  <mergeCells count="2">
    <mergeCell ref="A1:E1"/>
    <mergeCell ref="A20:E20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Dashboard_x002a_ xmlns="ec868678-deb6-48cf-896b-119bf5e2249b">
      <Url>http://cm3.darden.virginia.edu/CMO/WorkflowDashboard.aspx?wf=1094</Url>
      <Description>Workflow Dashboard</Description>
    </Dashboard_x002a_>
    <Document_x0020_Type xmlns="ec868678-deb6-48cf-896b-119bf5e2249b">Supplemental File</Document_x0020_Type>
    <Metadata_x0020_Form_x0020_URL_x002a_ xmlns="ec868678-deb6-48cf-896b-119bf5e2249b">
      <Url>http://cm3.darden.virginia.edu/CMO/Gold%20Metadata/DispFormMeta.aspx?ID=34030</Url>
      <Description>View Document Metadata</Description>
    </Metadata_x0020_Form_x0020_URL_x002a_>
    <Faculty_x0020_Sponsor_x002a_ xmlns="ec868678-deb6-48cf-896b-119bf5e2249b">
      <UserInfo>
        <DisplayName>DARDEN\wilcoxr</DisplayName>
        <AccountId>132</AccountId>
        <AccountType/>
      </UserInfo>
    </Faculty_x0020_Sponsor_x002a_>
    <DBP_x0020_Editor_x002a_ xmlns="ec868678-deb6-48cf-896b-119bf5e2249b">
      <UserInfo>
        <DisplayName>DARDEN\woodse</DisplayName>
        <AccountId>20</AccountId>
        <AccountType/>
      </UserInfo>
    </DBP_x0020_Editor_x002a_>
    <Subject_x0020_Area xmlns="ec868678-deb6-48cf-896b-119bf5e2249b">Marketing</Subject_x0020_Area>
    <Metadata_x0020_Link_x0020_ID xmlns="ec868678-deb6-48cf-896b-119bf5e2249b">{C3E827FF-CF8C-4CF0-B740-FCACE3C8CA90}</Metadata_x0020_Link_x0020_ID>
    <Approver_x002a_ xmlns="ec868678-deb6-48cf-896b-119bf5e2249b">
      <UserInfo>
        <DisplayName>DARDEN\wilcoxr</DisplayName>
        <AccountId>132</AccountId>
        <AccountType/>
      </UserInfo>
    </Approver_x002a_>
    <MetadataLibraryDisplayFormLink xmlns="82207545-987c-4df2-827d-742bde27eac5" xsi:nil="true"/>
    <MetadataLibrary xmlns="82207545-987c-4df2-827d-742bde27eac5" xsi:nil="true"/>
    <MetadataID xmlns="82207545-987c-4df2-827d-742bde27eac5" xsi:nil="true"/>
    <PrimaryAuthor xmlns="82207545-987c-4df2-827d-742bde27ea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8B602DD77EF48A07DCBF2B238F6DA" ma:contentTypeVersion="77" ma:contentTypeDescription="Create a new document." ma:contentTypeScope="" ma:versionID="6f65bd87b856f4c89742648cd51b8c59">
  <xsd:schema xmlns:xsd="http://www.w3.org/2001/XMLSchema" xmlns:p="http://schemas.microsoft.com/office/2006/metadata/properties" xmlns:ns2="82207545-987c-4df2-827d-742bde27eac5" xmlns:ns3="ec868678-deb6-48cf-896b-119bf5e2249b" targetNamespace="http://schemas.microsoft.com/office/2006/metadata/properties" ma:root="true" ma:fieldsID="a65ed7353f1cdfe266144dd599d14120" ns2:_="" ns3:_="">
    <xsd:import namespace="82207545-987c-4df2-827d-742bde27eac5"/>
    <xsd:import namespace="ec868678-deb6-48cf-896b-119bf5e2249b"/>
    <xsd:element name="properties">
      <xsd:complexType>
        <xsd:sequence>
          <xsd:element name="documentManagement">
            <xsd:complexType>
              <xsd:all>
                <xsd:element ref="ns2:PrimaryAuthor" minOccurs="0"/>
                <xsd:element ref="ns2:ApprovalState" minOccurs="0"/>
                <xsd:element ref="ns2:DateOfApproval" minOccurs="0"/>
                <xsd:element ref="ns2:CheckinCommentLine" minOccurs="0"/>
                <xsd:element ref="ns2:VersionModifierName" minOccurs="0"/>
                <xsd:element ref="ns2:DateInEditing" minOccurs="0"/>
                <xsd:element ref="ns2:DatePending" minOccurs="0"/>
                <xsd:element ref="ns2:MetadataLibrary" minOccurs="0"/>
                <xsd:element ref="ns2:MetadataID" minOccurs="0"/>
                <xsd:element ref="ns2:MetadataLibraryDisplayFormLink" minOccurs="0"/>
                <xsd:element ref="ns2:RejectionText" minOccurs="0"/>
                <xsd:element ref="ns3:Approver_x002a_" minOccurs="0"/>
                <xsd:element ref="ns3:Dashboard_x002a_" minOccurs="0"/>
                <xsd:element ref="ns3:DBP_x0020_Editor_x002a_" minOccurs="0"/>
                <xsd:element ref="ns3:Faculty_x0020_Sponsor_x002a_" minOccurs="0"/>
                <xsd:element ref="ns3:Metadata_x0020_Link_x0020_ID" minOccurs="0"/>
                <xsd:element ref="ns3:Metadata_x0020_Form_x0020_URL_x002a_" minOccurs="0"/>
                <xsd:element ref="ns3:Document_x0020_Type" minOccurs="0"/>
                <xsd:element ref="ns3:Subject_x0020_Area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2207545-987c-4df2-827d-742bde27eac5" elementFormDefault="qualified">
    <xsd:import namespace="http://schemas.microsoft.com/office/2006/documentManagement/types"/>
    <xsd:element name="PrimaryAuthor" ma:index="8" nillable="true" ma:displayName="Primary Author" ma:hidden="true" ma:internalName="PrimaryAuthor">
      <xsd:simpleType>
        <xsd:restriction base="dms:Text"/>
      </xsd:simpleType>
    </xsd:element>
    <xsd:element name="ApprovalState" ma:index="9" nillable="true" ma:displayName="Document Approval" ma:internalName="ApprovalState" ma:readOnly="true">
      <xsd:simpleType>
        <xsd:restriction base="dms:Text"/>
      </xsd:simpleType>
    </xsd:element>
    <xsd:element name="DateOfApproval" ma:index="10" nillable="true" ma:displayName="Date Approved" ma:internalName="DateOfApproval" ma:readOnly="true">
      <xsd:simpleType>
        <xsd:restriction base="dms:DateTime"/>
      </xsd:simpleType>
    </xsd:element>
    <xsd:element name="CheckinCommentLine" ma:index="11" nillable="true" ma:displayName="Comment Line" ma:internalName="CheckinCommentLine" ma:readOnly="true">
      <xsd:simpleType>
        <xsd:restriction base="dms:Text"/>
      </xsd:simpleType>
    </xsd:element>
    <xsd:element name="VersionModifierName" ma:index="12" nillable="true" ma:displayName="VM Name" ma:internalName="VersionModifierName" ma:readOnly="true">
      <xsd:simpleType>
        <xsd:restriction base="dms:Text"/>
      </xsd:simpleType>
    </xsd:element>
    <xsd:element name="DateInEditing" ma:index="13" nillable="true" ma:displayName="Date Editing Began" ma:internalName="DateInEditing" ma:readOnly="true">
      <xsd:simpleType>
        <xsd:restriction base="dms:DateTime"/>
      </xsd:simpleType>
    </xsd:element>
    <xsd:element name="DatePending" ma:index="14" nillable="true" ma:displayName="Date Approval Sent" ma:internalName="DatePending" ma:readOnly="true">
      <xsd:simpleType>
        <xsd:restriction base="dms:DateTime"/>
      </xsd:simpleType>
    </xsd:element>
    <xsd:element name="MetadataLibrary" ma:index="15" nillable="true" ma:displayName="Metadata Library" ma:hidden="true" ma:internalName="MetadataLibrary">
      <xsd:simpleType>
        <xsd:restriction base="dms:Text"/>
      </xsd:simpleType>
    </xsd:element>
    <xsd:element name="MetadataID" ma:index="16" nillable="true" ma:displayName="Metadata ID" ma:hidden="true" ma:internalName="MetadataID">
      <xsd:simpleType>
        <xsd:restriction base="dms:Text"/>
      </xsd:simpleType>
    </xsd:element>
    <xsd:element name="MetadataLibraryDisplayFormLink" ma:index="17" nillable="true" ma:displayName="Display Form Link" ma:hidden="true" ma:internalName="MetadataLibraryDisplayFormLink">
      <xsd:simpleType>
        <xsd:restriction base="dms:Text"/>
      </xsd:simpleType>
    </xsd:element>
    <xsd:element name="RejectionText" ma:index="18" nillable="true" ma:displayName="Rejection Text" ma:internalName="RejectionText" ma:readOnly="true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ec868678-deb6-48cf-896b-119bf5e2249b" elementFormDefault="qualified">
    <xsd:import namespace="http://schemas.microsoft.com/office/2006/documentManagement/types"/>
    <xsd:element name="Approver_x002a_" ma:index="20" nillable="true" ma:displayName="Approver" ma:list="UserInfo" ma:internalName="Approver_x002A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shboard_x002a_" ma:index="21" nillable="true" ma:displayName="Dashboard" ma:format="Hyperlink" ma:internalName="Dashboard_x002A_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BP_x0020_Editor_x002a_" ma:index="22" nillable="true" ma:displayName="DBP Editor" ma:list="UserInfo" ma:internalName="DBP_x0020_Editor_x002A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aculty_x0020_Sponsor_x002a_" ma:index="23" nillable="true" ma:displayName="Faculty Sponsor" ma:list="UserInfo" ma:internalName="Faculty_x0020_Sponsor_x002A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tadata_x0020_Link_x0020_ID" ma:index="24" nillable="true" ma:displayName="File Identification Number" ma:internalName="Metadata_x0020_Link_x0020_ID" ma:readOnly="false">
      <xsd:simpleType>
        <xsd:restriction base="dms:Text">
          <xsd:maxLength value="255"/>
        </xsd:restriction>
      </xsd:simpleType>
    </xsd:element>
    <xsd:element name="Metadata_x0020_Form_x0020_URL_x002a_" ma:index="25" nillable="true" ma:displayName="Metadata Form URL" ma:format="Hyperlink" ma:internalName="Metadata_x0020_Form_x0020_URL_x002A_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ocument_x0020_Type" ma:index="26" nillable="true" ma:displayName="Product Type" ma:format="Dropdown" ma:internalName="Document_x0020_Type" ma:readOnly="false">
      <xsd:simpleType>
        <xsd:restriction base="dms:Choice">
          <xsd:enumeration value="Case"/>
          <xsd:enumeration value="Technical Note"/>
          <xsd:enumeration value="Teaching Note"/>
          <xsd:enumeration value="Supplemental File"/>
          <xsd:enumeration value="Working Paper"/>
          <xsd:enumeration value="Book Chapter"/>
          <xsd:enumeration value="Multimedia Case"/>
          <xsd:enumeration value="Multimedia TN"/>
          <xsd:enumeration value="Simulation"/>
          <xsd:enumeration value="Simulation TN"/>
          <xsd:enumeration value="DCCP"/>
          <xsd:enumeration value="DVD Supplement"/>
          <xsd:enumeration value="VHS Supplement"/>
          <xsd:enumeration value="KIT"/>
          <xsd:enumeration value="Audio"/>
          <xsd:enumeration value="Book"/>
        </xsd:restriction>
      </xsd:simpleType>
    </xsd:element>
    <xsd:element name="Subject_x0020_Area" ma:index="27" nillable="true" ma:displayName="Subject Area" ma:format="Dropdown" ma:internalName="Subject_x0020_Area" ma:readOnly="false">
      <xsd:simpleType>
        <xsd:restriction base="dms:Choice">
          <xsd:enumeration value="Accounting and Control"/>
          <xsd:enumeration value="Business Communications"/>
          <xsd:enumeration value="Business Policy"/>
          <xsd:enumeration value="Computer-Information Technology"/>
          <xsd:enumeration value="Entrepreneurship and Innovation"/>
          <xsd:enumeration value="Ethics"/>
          <xsd:enumeration value="Finance"/>
          <xsd:enumeration value="General"/>
          <xsd:enumeration value="Global Economies and Markets"/>
          <xsd:enumeration value="Marketing"/>
          <xsd:enumeration value="Nonprofit Organizations"/>
          <xsd:enumeration value="Operations Management"/>
          <xsd:enumeration value="Organizational Behavior and Human Resources"/>
          <xsd:enumeration value="Pedagogy and Higher Administration"/>
          <xsd:enumeration value="Personal Assessment and Career Strategy"/>
          <xsd:enumeration value="Quantitative Analysis"/>
          <xsd:enumeration value="Strategy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61CC5A4-D899-44C1-ACEE-280BB073D1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C60DE-FBA8-4FEA-9BCF-4837B0113588}">
  <ds:schemaRefs>
    <ds:schemaRef ds:uri="http://schemas.microsoft.com/office/2006/documentManagement/types"/>
    <ds:schemaRef ds:uri="http://schemas.microsoft.com/office/2006/metadata/properties"/>
    <ds:schemaRef ds:uri="82207545-987c-4df2-827d-742bde27eac5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ec868678-deb6-48cf-896b-119bf5e2249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C11A21B-219C-4561-B80D-3F1AC7E9A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207545-987c-4df2-827d-742bde27eac5"/>
    <ds:schemaRef ds:uri="ec868678-deb6-48cf-896b-119bf5e224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Title Page</vt:lpstr>
      <vt:lpstr>Regular Manufacturer Margins</vt:lpstr>
      <vt:lpstr>Regular Retailer Margins</vt:lpstr>
      <vt:lpstr>Promoted Manufacturer Margins</vt:lpstr>
      <vt:lpstr>Promoted Retail Margins</vt:lpstr>
      <vt:lpstr>Hypothetical Deals Manufacturer</vt:lpstr>
      <vt:lpstr>Hypothetical Deals Retailer</vt:lpstr>
    </vt:vector>
  </TitlesOfParts>
  <Company>Darden Graduate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Heinz Ketchup: Pricing the Product Line (SPREADSHEET TN)</dc:title>
  <dc:creator>wilcoxr</dc:creator>
  <cp:lastModifiedBy>Markus Beinert</cp:lastModifiedBy>
  <cp:lastPrinted>2010-06-14T14:55:02Z</cp:lastPrinted>
  <dcterms:created xsi:type="dcterms:W3CDTF">2010-06-14T14:55:02Z</dcterms:created>
  <dcterms:modified xsi:type="dcterms:W3CDTF">2014-06-11T11:26:28Z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0x010100FC88B602DD77EF48A07DCBF2B238F6DA</vt:lpwstr>
  </property>
  <property fmtid="{D5CDD505-2E9C-101B-9397-08002B2CF9AE}" pid="3" name="WorkflowCreationPath">
    <vt:lpwstr>486cb3c1-c433-404d-83d7-2c91a01b85f5,7;486cb3c1-c433-404d-83d7-2c91a01b85f5,7;486cb3c1-c433-404d-83d7-2c91a01b85f5,7;486cb3c1-c433-404d-83d7-2c91a01b85f5,7;486cb3c1-c433-404d-83d7-2c91a01b85f5,7;486cb3c1-c433-404d-83d7-2c91a01b85f5,7;486cb3c1-c433-404d-83</vt:lpwstr>
  </property>
  <property fmtid="{D5CDD505-2E9C-101B-9397-08002B2CF9AE}" pid="4" name="SWAT">
    <vt:lpwstr>false</vt:lpwstr>
  </property>
  <property fmtid="{D5CDD505-2E9C-101B-9397-08002B2CF9AE}" pid="5" name="Admin Assistant">
    <vt:lpwstr>Richards, Barbara35</vt:lpwstr>
  </property>
  <property fmtid="{D5CDD505-2E9C-101B-9397-08002B2CF9AE}" pid="6" name="Editing Status">
    <vt:lpwstr>Editing Complete</vt:lpwstr>
  </property>
  <property fmtid="{D5CDD505-2E9C-101B-9397-08002B2CF9AE}" pid="7" name="Edit Type">
    <vt:lpwstr>Revised Editing</vt:lpwstr>
  </property>
  <property fmtid="{D5CDD505-2E9C-101B-9397-08002B2CF9AE}" pid="8" name="2nd Editor*">
    <vt:lpwstr/>
  </property>
</Properties>
</file>
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nuwildcat.sharepoint.com/sites/KSM-KelloggCasePublishing/Case Publishing/Case Publishing/Cases/Sawhney/Xbox Game Pass/Final/"/>
    </mc:Choice>
  </mc:AlternateContent>
  <xr:revisionPtr revIDLastSave="11" documentId="8_{EA1BC5FD-DD2D-4661-AD8A-C449CC2D4A2D}" xr6:coauthVersionLast="47" xr6:coauthVersionMax="47" xr10:uidLastSave="{F2BF92CD-BF77-4A6A-BD20-D8C42A25F3BB}"/>
  <bookViews>
    <workbookView xWindow="19740" yWindow="0" windowWidth="10980" windowHeight="16680" activeTab="1" xr2:uid="{38D827DE-9A4D-4E7A-9F16-35DE874B42E7}"/>
  </bookViews>
  <sheets>
    <sheet name="Copyright"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2" i="1" l="1"/>
  <c r="E32" i="1"/>
  <c r="D23" i="1"/>
  <c r="C23" i="1"/>
  <c r="D22" i="1"/>
  <c r="C22" i="1"/>
  <c r="D35" i="1" l="1"/>
  <c r="C35" i="1"/>
  <c r="B35" i="1"/>
  <c r="D18" i="1" l="1"/>
  <c r="D20" i="1" s="1"/>
  <c r="C18" i="1"/>
  <c r="C20" i="1" s="1"/>
  <c r="C21" i="1" s="1"/>
  <c r="B18" i="1"/>
  <c r="B20" i="1" s="1"/>
  <c r="B21" i="1" s="1"/>
  <c r="B24" i="1" s="1"/>
  <c r="D37" i="1"/>
  <c r="C34" i="1"/>
  <c r="D34" i="1"/>
  <c r="B34" i="1"/>
  <c r="D6" i="1"/>
  <c r="D8" i="1" s="1"/>
  <c r="D9" i="1" s="1"/>
  <c r="C6" i="1"/>
  <c r="C10" i="1" s="1"/>
  <c r="B6" i="1"/>
  <c r="B8" i="1" s="1"/>
  <c r="B9" i="1" s="1"/>
  <c r="C24" i="1" l="1"/>
  <c r="B40" i="1"/>
  <c r="E20" i="1"/>
  <c r="D21" i="1"/>
  <c r="D24" i="1" s="1"/>
  <c r="B25" i="1"/>
  <c r="B26" i="1" s="1"/>
  <c r="C25" i="1"/>
  <c r="D25" i="1"/>
  <c r="E18" i="1"/>
  <c r="B38" i="1"/>
  <c r="C40" i="1"/>
  <c r="C38" i="1"/>
  <c r="D40" i="1"/>
  <c r="C37" i="1"/>
  <c r="B37" i="1"/>
  <c r="D38" i="1"/>
  <c r="E6" i="1"/>
  <c r="C8" i="1"/>
  <c r="C9" i="1" s="1"/>
  <c r="E9" i="1" s="1"/>
  <c r="B10" i="1"/>
  <c r="B11" i="1" s="1"/>
  <c r="D10" i="1"/>
  <c r="C26" i="1" l="1"/>
  <c r="E24" i="1"/>
  <c r="D39" i="1"/>
  <c r="D41" i="1" s="1"/>
  <c r="D42" i="1" s="1"/>
  <c r="D43" i="1" s="1"/>
  <c r="C39" i="1"/>
  <c r="B39" i="1"/>
  <c r="B41" i="1" s="1"/>
  <c r="B42" i="1" s="1"/>
  <c r="B43" i="1" s="1"/>
  <c r="D26" i="1"/>
  <c r="E25" i="1"/>
  <c r="E21" i="1"/>
  <c r="C41" i="1"/>
  <c r="C42" i="1" s="1"/>
  <c r="C43" i="1" s="1"/>
  <c r="E8" i="1"/>
  <c r="E10" i="1"/>
  <c r="C11" i="1"/>
  <c r="D11" i="1"/>
  <c r="E26" i="1" l="1"/>
  <c r="E43" i="1"/>
  <c r="E11" i="1"/>
</calcChain>
</file>

<file path=xl/sharedStrings.xml><?xml version="1.0" encoding="utf-8"?>
<sst xmlns="http://schemas.openxmlformats.org/spreadsheetml/2006/main" count="67" uniqueCount="38">
  <si>
    <t>Attribute</t>
  </si>
  <si>
    <t>Gold Tier</t>
  </si>
  <si>
    <t>Target segment</t>
  </si>
  <si>
    <t>Minnows</t>
  </si>
  <si>
    <t>Dolphins</t>
  </si>
  <si>
    <t>Whales</t>
  </si>
  <si>
    <t>Segment size (% of current subscriber base)</t>
  </si>
  <si>
    <t>Proposed Usage-Based Pricing Plan</t>
  </si>
  <si>
    <t>$9.99/month for up to 1,000 minutes/month</t>
  </si>
  <si>
    <t>$24.99/month for up to 3,000 minutes/month</t>
  </si>
  <si>
    <t>$39.99/month for unlimited play</t>
  </si>
  <si>
    <t>Segment Size</t>
  </si>
  <si>
    <t>Estimated Retention on Usage Model</t>
  </si>
  <si>
    <t>Usage-Based Revenues</t>
  </si>
  <si>
    <t>Totals</t>
  </si>
  <si>
    <t>Incremental Revenues from Usage-Based Pricing</t>
  </si>
  <si>
    <t>Customer Lifetime (after loyalty points)</t>
  </si>
  <si>
    <t>Average Play Points Earned</t>
  </si>
  <si>
    <t>Average Anniversary Points Earned</t>
  </si>
  <si>
    <t>Total Points Earned Per Subscriber</t>
  </si>
  <si>
    <t>Increased Revenues/Subscriber from Reduced Churn</t>
  </si>
  <si>
    <t>Cost of Loyalty Point Redemption/Subscriber</t>
  </si>
  <si>
    <t>Incremental Revenues/Subscriber from Loyalty Program</t>
  </si>
  <si>
    <t>Gross Incremental Revenues from Loyalty Program</t>
  </si>
  <si>
    <t>Segment Size (millions)</t>
  </si>
  <si>
    <t>Consumption Level (minutes/month)</t>
  </si>
  <si>
    <t>Customer Lifetime in months (before loyalty points)</t>
  </si>
  <si>
    <t>Incremental Purchase Revenues (Microsoft Share)</t>
  </si>
  <si>
    <t>Less Lower Margins on existing purchases</t>
  </si>
  <si>
    <t>Total Post-Usage and Deals Revenues</t>
  </si>
  <si>
    <t>Segment Size (post-usage)</t>
  </si>
  <si>
    <t>Exhibit 3: Revenue Calculations for Loyalty Program</t>
  </si>
  <si>
    <t>Exhibit 2: Revenue Calculations for Member Deals and Discounts Program</t>
  </si>
  <si>
    <t>Welcome Points Earned</t>
  </si>
  <si>
    <t>Sliver Tier</t>
  </si>
  <si>
    <t>Platinum Tier</t>
  </si>
  <si>
    <t>Exhibit 1: Revenue Calculations for Usage-Based Pricing Model</t>
  </si>
  <si>
    <t>Subscription-Based Revenues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</si>
</sst>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0.0"/>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Segoe UI"/>
      <family val="2"/>
    </font>
    <font>
      <b/>
      <sz val="10"/>
      <color rgb="FF000000"/>
      <name val="Segoe UI"/>
      <family val="2"/>
    </font>
    <font>
      <b/>
      <sz val="10"/>
      <color theme="1"/>
      <name val="Segoe UI"/>
      <family val="2"/>
    </font>
    <font>
      <b/>
      <sz val="12"/>
      <color theme="1"/>
      <name val="Calibri"/>
      <family val="2"/>
      <scheme val="minor"/>
    </font>
  </fonts>
  <fills count="6">
    <fill>
      <patternFill patternType="none"/>
    </fill>
    <fill>
      <patternFill patternType="gray125"/>
    </fill>
    <fill>
      <patternFill patternType="solid">
        <fgColor rgb="FF9CC2E5"/>
        <bgColor indexed="64"/>
      </patternFill>
    </fill>
    <fill>
      <patternFill patternType="solid">
        <fgColor rgb="FFD9E2F3"/>
        <bgColor indexed="64"/>
      </patternFill>
    </fill>
    <fill>
      <patternFill patternType="solid">
        <fgColor theme="5" tint="0.59999389629810485"/>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3">
    <xf numFmtId="0" fontId="0" fillId="0" borderId="0" xfId="0"/>
    <xf numFmtId="0" fontId="4"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0" fillId="0" borderId="1" xfId="0" applyBorder="1"/>
    <xf numFmtId="0" fontId="5" fillId="0" borderId="1" xfId="0" applyFont="1" applyBorder="1" applyAlignment="1">
      <alignment horizontal="left" vertical="center" wrapText="1"/>
    </xf>
    <xf numFmtId="44" fontId="0" fillId="0" borderId="1" xfId="1" applyFont="1" applyBorder="1" applyAlignment="1"/>
    <xf numFmtId="0" fontId="4" fillId="4" borderId="1" xfId="0" applyFont="1" applyFill="1" applyBorder="1" applyAlignment="1">
      <alignment horizontal="left" vertical="center" wrapText="1"/>
    </xf>
    <xf numFmtId="44" fontId="2" fillId="4" borderId="1" xfId="1" applyFont="1" applyFill="1" applyBorder="1" applyAlignment="1"/>
    <xf numFmtId="44" fontId="2" fillId="4" borderId="1" xfId="1" applyFont="1" applyFill="1" applyBorder="1" applyAlignment="1">
      <alignment horizontal="center"/>
    </xf>
    <xf numFmtId="0" fontId="6" fillId="0" borderId="0" xfId="0" applyFont="1"/>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0" fillId="5" borderId="0" xfId="0" applyFill="1"/>
    <xf numFmtId="0" fontId="2" fillId="5" borderId="0" xfId="0" applyFont="1" applyFill="1"/>
    <xf numFmtId="164" fontId="3" fillId="5" borderId="1" xfId="2" applyNumberFormat="1" applyFont="1" applyFill="1" applyBorder="1" applyAlignment="1">
      <alignment vertical="center" wrapText="1"/>
    </xf>
    <xf numFmtId="0" fontId="5" fillId="5" borderId="1" xfId="0" applyFont="1" applyFill="1" applyBorder="1" applyAlignment="1">
      <alignment horizontal="left" vertical="center" wrapText="1"/>
    </xf>
    <xf numFmtId="0" fontId="3" fillId="5" borderId="1" xfId="0" applyFont="1" applyFill="1" applyBorder="1" applyAlignment="1">
      <alignment vertical="center" wrapText="1"/>
    </xf>
    <xf numFmtId="1" fontId="3" fillId="5" borderId="1" xfId="0" applyNumberFormat="1" applyFont="1" applyFill="1" applyBorder="1" applyAlignment="1">
      <alignment vertical="center" wrapText="1"/>
    </xf>
    <xf numFmtId="164" fontId="0" fillId="5" borderId="1" xfId="2" applyNumberFormat="1" applyFont="1" applyFill="1" applyBorder="1" applyAlignment="1"/>
    <xf numFmtId="0" fontId="5" fillId="4" borderId="2" xfId="0" applyFont="1" applyFill="1" applyBorder="1" applyAlignment="1">
      <alignment horizontal="left" vertical="center" wrapText="1"/>
    </xf>
    <xf numFmtId="165" fontId="3" fillId="5" borderId="1" xfId="0" applyNumberFormat="1" applyFont="1" applyFill="1" applyBorder="1" applyAlignment="1">
      <alignment vertical="center" wrapText="1"/>
    </xf>
    <xf numFmtId="0" fontId="0" fillId="0" borderId="0" xfId="0" applyAlignment="1">
      <alignment horizontal="center"/>
    </xf>
    <xf numFmtId="9" fontId="3" fillId="0" borderId="1" xfId="0" applyNumberFormat="1" applyFont="1" applyBorder="1" applyAlignment="1">
      <alignment vertical="center" wrapText="1"/>
    </xf>
    <xf numFmtId="9" fontId="0" fillId="0" borderId="1" xfId="0" applyNumberFormat="1" applyBorder="1"/>
    <xf numFmtId="0" fontId="3" fillId="0" borderId="1" xfId="0" applyFont="1" applyBorder="1" applyAlignment="1">
      <alignment vertical="center" wrapText="1"/>
    </xf>
    <xf numFmtId="2" fontId="0" fillId="0" borderId="1" xfId="0" applyNumberFormat="1" applyBorder="1"/>
    <xf numFmtId="44" fontId="2" fillId="0" borderId="1" xfId="1" applyFont="1" applyBorder="1" applyAlignment="1"/>
    <xf numFmtId="0" fontId="4" fillId="2" borderId="2" xfId="0" applyFont="1" applyFill="1" applyBorder="1" applyAlignment="1">
      <alignment horizontal="center" vertical="center" wrapText="1"/>
    </xf>
    <xf numFmtId="164" fontId="0" fillId="0" borderId="1" xfId="0" applyNumberFormat="1" applyBorder="1"/>
    <xf numFmtId="44" fontId="0" fillId="0" borderId="1" xfId="0" applyNumberFormat="1" applyBorder="1"/>
    <xf numFmtId="44" fontId="1" fillId="5" borderId="1" xfId="1" applyFont="1" applyFill="1" applyBorder="1" applyAlignment="1"/>
    <xf numFmtId="44" fontId="2" fillId="4" borderId="1" xfId="1" applyFont="1" applyFill="1" applyBorder="1"/>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8</xdr:col>
      <xdr:colOff>546101</xdr:colOff>
      <xdr:row>23</xdr:row>
      <xdr:rowOff>6350</xdr:rowOff>
    </xdr:to>
    <xdr:sp macro="" textlink="">
      <xdr:nvSpPr>
        <xdr:cNvPr id="2" name="Text Box 1">
          <a:extLst>
            <a:ext uri="{FF2B5EF4-FFF2-40B4-BE49-F238E27FC236}">
              <a16:creationId xmlns:a16="http://schemas.microsoft.com/office/drawing/2014/main" id="{97A78FDD-32A3-4819-BA75-4C3FDD33A92D}"/>
            </a:ext>
          </a:extLst>
        </xdr:cNvPr>
        <xdr:cNvSpPr txBox="1">
          <a:spLocks noChangeArrowheads="1"/>
        </xdr:cNvSpPr>
      </xdr:nvSpPr>
      <xdr:spPr bwMode="auto">
        <a:xfrm>
          <a:off x="609600" y="368300"/>
          <a:ext cx="4813301" cy="3873500"/>
        </a:xfrm>
        <a:prstGeom prst="rect">
          <a:avLst/>
        </a:prstGeom>
        <a:solidFill>
          <a:srgbClr val="FFFFFF"/>
        </a:solidFill>
        <a:ln w="9525">
          <a:solidFill>
            <a:srgbClr val="000000"/>
          </a:solidFill>
          <a:miter lim="800000"/>
          <a:headEnd/>
          <a:tailEnd/>
        </a:ln>
      </xdr:spPr>
      <xdr:txBody>
        <a:bodyPr vertOverflow="clip" wrap="square" lIns="91440" tIns="91440" rIns="91440" bIns="91440" anchor="t" upright="1"/>
        <a:lstStyle/>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These instructor models relate to the case </a:t>
          </a:r>
          <a:r>
            <a:rPr lang="en-US" sz="1000" b="0" i="1" u="none" strike="noStrike" baseline="0">
              <a:solidFill>
                <a:srgbClr val="000000"/>
              </a:solidFill>
              <a:latin typeface="Arial"/>
              <a:cs typeface="Arial"/>
            </a:rPr>
            <a:t>Xbox Game Pass: Business Model Optimization and Transformation</a:t>
          </a:r>
          <a:r>
            <a:rPr lang="en-US" sz="1000" b="0" i="0" u="none" strike="noStrike" baseline="0">
              <a:solidFill>
                <a:srgbClr val="000000"/>
              </a:solidFill>
              <a:latin typeface="Arial"/>
              <a:cs typeface="Arial"/>
            </a:rPr>
            <a:t>, Case #KE1246</a:t>
          </a:r>
          <a:r>
            <a:rPr lang="en-US" sz="1000" b="0" i="1" u="none" strike="noStrike" baseline="0">
              <a:solidFill>
                <a:srgbClr val="000000"/>
              </a:solidFill>
              <a:latin typeface="Arial"/>
              <a:cs typeface="Arial"/>
            </a:rPr>
            <a:t>.</a:t>
          </a:r>
        </a:p>
        <a:p>
          <a:pPr algn="l" rtl="0">
            <a:defRPr sz="1000"/>
          </a:pPr>
          <a:endParaRPr lang="en-US" sz="1000" b="0" i="0" u="none" strike="noStrike" baseline="0">
            <a:solidFill>
              <a:srgbClr val="000000"/>
            </a:solidFill>
            <a:latin typeface="Arial"/>
            <a:cs typeface="Arial"/>
          </a:endParaRPr>
        </a:p>
        <a:p>
          <a:r>
            <a:rPr lang="en-US" sz="1000">
              <a:effectLst/>
              <a:latin typeface="Arial" panose="020B0604020202020204" pitchFamily="34" charset="0"/>
              <a:ea typeface="+mn-ea"/>
              <a:cs typeface="Arial" panose="020B0604020202020204" pitchFamily="34" charset="0"/>
            </a:rPr>
            <a:t>© 2023 by the Kellogg School of Management at Northwestern University. This case was prepared by Professor Mohanbir Sawhney. Cases are developed solely as the basis for class discussion and are not intended to serve as endorsements, sources of primary data, or illustrations of effective or ineffective management. This case was based exculsively on publicly available information. For pedagogical purposes, the author may have fictionalized individuals, conversations, and case facts. The strategies and tactics mentioned in the case do not purport to represent the company’s actual strategies. To order copies or request permission to reproduce materials, call 847.491.5400, or email cases@kellogg.northwestern.edu. No part of this publication may be reproduced, stored in a retrieval system, used in a spreadsheet, or transmitted in any form or by any means—electronic, mechanical, photocopying, recording, or otherwise—without the permission of Kellogg Case Publishing.</a:t>
          </a:r>
        </a:p>
      </xdr:txBody>
    </xdr:sp>
    <xdr:clientData/>
  </xdr:twoCellAnchor>
  <xdr:twoCellAnchor editAs="oneCell">
    <xdr:from>
      <xdr:col>1</xdr:col>
      <xdr:colOff>101600</xdr:colOff>
      <xdr:row>2</xdr:row>
      <xdr:rowOff>114300</xdr:rowOff>
    </xdr:from>
    <xdr:to>
      <xdr:col>3</xdr:col>
      <xdr:colOff>494030</xdr:colOff>
      <xdr:row>7</xdr:row>
      <xdr:rowOff>73660</xdr:rowOff>
    </xdr:to>
    <xdr:pic>
      <xdr:nvPicPr>
        <xdr:cNvPr id="3" name="Picture 2">
          <a:extLst>
            <a:ext uri="{FF2B5EF4-FFF2-40B4-BE49-F238E27FC236}">
              <a16:creationId xmlns:a16="http://schemas.microsoft.com/office/drawing/2014/main" id="{E9F3439C-5E0F-45C4-92C2-E098E6D4E88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1200" y="482600"/>
          <a:ext cx="1611630" cy="8801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D9822-7741-4A0B-888D-784F3F801E42}">
  <dimension ref="A1"/>
  <sheetViews>
    <sheetView zoomScaleNormal="100"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69446-914A-4DFF-BC63-5C09C229A543}">
  <dimension ref="A1:AK43"/>
  <sheetViews>
    <sheetView tabSelected="1" workbookViewId="0">
      <selection activeCell="C42" sqref="C42"/>
    </sheetView>
  </sheetViews>
  <sheetFormatPr defaultRowHeight="15" x14ac:dyDescent="0.25"/>
  <cols>
    <col min="1" max="1" width="23.7109375" customWidth="1"/>
    <col min="2" max="2" width="18.7109375" customWidth="1"/>
    <col min="3" max="3" width="20.7109375" customWidth="1"/>
    <col min="4" max="4" width="18.28515625" customWidth="1"/>
    <col min="5" max="5" width="11.28515625" customWidth="1"/>
  </cols>
  <sheetData>
    <row r="1" spans="1:5" s="10" customFormat="1" ht="15.75" x14ac:dyDescent="0.25">
      <c r="A1" s="10" t="s">
        <v>36</v>
      </c>
    </row>
    <row r="2" spans="1:5" x14ac:dyDescent="0.25">
      <c r="A2" s="1" t="s">
        <v>0</v>
      </c>
      <c r="B2" s="1" t="s">
        <v>34</v>
      </c>
      <c r="C2" s="1" t="s">
        <v>1</v>
      </c>
      <c r="D2" s="1" t="s">
        <v>35</v>
      </c>
      <c r="E2" s="1" t="s">
        <v>14</v>
      </c>
    </row>
    <row r="3" spans="1:5" x14ac:dyDescent="0.25">
      <c r="A3" s="2" t="s">
        <v>2</v>
      </c>
      <c r="B3" s="3" t="s">
        <v>3</v>
      </c>
      <c r="C3" s="3" t="s">
        <v>4</v>
      </c>
      <c r="D3" s="3" t="s">
        <v>5</v>
      </c>
      <c r="E3" s="4"/>
    </row>
    <row r="4" spans="1:5" ht="28.5" x14ac:dyDescent="0.25">
      <c r="A4" s="5" t="s">
        <v>6</v>
      </c>
      <c r="B4" s="23">
        <v>0.75</v>
      </c>
      <c r="C4" s="23">
        <v>0.15</v>
      </c>
      <c r="D4" s="23">
        <v>0.1</v>
      </c>
      <c r="E4" s="24">
        <v>1</v>
      </c>
    </row>
    <row r="5" spans="1:5" ht="42" customHeight="1" x14ac:dyDescent="0.25">
      <c r="A5" s="5" t="s">
        <v>7</v>
      </c>
      <c r="B5" s="25" t="s">
        <v>8</v>
      </c>
      <c r="C5" s="25" t="s">
        <v>9</v>
      </c>
      <c r="D5" s="25" t="s">
        <v>10</v>
      </c>
      <c r="E5" s="4"/>
    </row>
    <row r="6" spans="1:5" x14ac:dyDescent="0.25">
      <c r="A6" s="5" t="s">
        <v>11</v>
      </c>
      <c r="B6" s="25">
        <f>B4*25</f>
        <v>18.75</v>
      </c>
      <c r="C6" s="25">
        <f t="shared" ref="C6:D6" si="0">C4*25</f>
        <v>3.75</v>
      </c>
      <c r="D6" s="25">
        <f t="shared" si="0"/>
        <v>2.5</v>
      </c>
      <c r="E6" s="4">
        <f>D6+C6+B6</f>
        <v>25</v>
      </c>
    </row>
    <row r="7" spans="1:5" ht="28.5" x14ac:dyDescent="0.25">
      <c r="A7" s="2" t="s">
        <v>12</v>
      </c>
      <c r="B7" s="24">
        <v>1.25</v>
      </c>
      <c r="C7" s="24">
        <v>1.1000000000000001</v>
      </c>
      <c r="D7" s="24">
        <v>0.9</v>
      </c>
      <c r="E7" s="4"/>
    </row>
    <row r="8" spans="1:5" ht="28.5" x14ac:dyDescent="0.25">
      <c r="A8" s="5" t="s">
        <v>30</v>
      </c>
      <c r="B8" s="26">
        <f>B7*B6</f>
        <v>23.4375</v>
      </c>
      <c r="C8" s="26">
        <f t="shared" ref="C8:D8" si="1">C7*C6</f>
        <v>4.125</v>
      </c>
      <c r="D8" s="26">
        <f t="shared" si="1"/>
        <v>2.25</v>
      </c>
      <c r="E8" s="26">
        <f>D8+C8+B8</f>
        <v>29.8125</v>
      </c>
    </row>
    <row r="9" spans="1:5" x14ac:dyDescent="0.25">
      <c r="A9" s="2" t="s">
        <v>13</v>
      </c>
      <c r="B9" s="6">
        <f>9.99*B8</f>
        <v>234.140625</v>
      </c>
      <c r="C9" s="6">
        <f>C8*24.99</f>
        <v>103.08374999999999</v>
      </c>
      <c r="D9" s="6">
        <f>D8*39.99</f>
        <v>89.977500000000006</v>
      </c>
      <c r="E9" s="6">
        <f>D9+C9+B9</f>
        <v>427.20187499999997</v>
      </c>
    </row>
    <row r="10" spans="1:5" ht="28.5" x14ac:dyDescent="0.25">
      <c r="A10" s="5" t="s">
        <v>37</v>
      </c>
      <c r="B10" s="6">
        <f>B6*14.99</f>
        <v>281.0625</v>
      </c>
      <c r="C10" s="6">
        <f t="shared" ref="C10:D10" si="2">C6*14.99</f>
        <v>56.212499999999999</v>
      </c>
      <c r="D10" s="6">
        <f t="shared" si="2"/>
        <v>37.475000000000001</v>
      </c>
      <c r="E10" s="6">
        <f>D10+C10+B10</f>
        <v>374.75</v>
      </c>
    </row>
    <row r="11" spans="1:5" ht="42.75" x14ac:dyDescent="0.25">
      <c r="A11" s="7" t="s">
        <v>15</v>
      </c>
      <c r="B11" s="8">
        <f>B9-B10</f>
        <v>-46.921875</v>
      </c>
      <c r="C11" s="8">
        <f t="shared" ref="C11:D11" si="3">C9-C10</f>
        <v>46.871249999999996</v>
      </c>
      <c r="D11" s="8">
        <f t="shared" si="3"/>
        <v>52.502500000000005</v>
      </c>
      <c r="E11" s="8">
        <f>D11+C11+B11</f>
        <v>52.451875000000001</v>
      </c>
    </row>
    <row r="13" spans="1:5" ht="15.75" x14ac:dyDescent="0.25">
      <c r="A13" s="10" t="s">
        <v>32</v>
      </c>
      <c r="B13" s="10"/>
      <c r="C13" s="10"/>
      <c r="D13" s="10"/>
      <c r="E13" s="10"/>
    </row>
    <row r="14" spans="1:5" x14ac:dyDescent="0.25">
      <c r="A14" s="1" t="s">
        <v>0</v>
      </c>
      <c r="B14" s="1" t="s">
        <v>34</v>
      </c>
      <c r="C14" s="1" t="s">
        <v>1</v>
      </c>
      <c r="D14" s="1" t="s">
        <v>35</v>
      </c>
      <c r="E14" s="1" t="s">
        <v>14</v>
      </c>
    </row>
    <row r="15" spans="1:5" x14ac:dyDescent="0.25">
      <c r="A15" s="2" t="s">
        <v>2</v>
      </c>
      <c r="B15" s="3" t="s">
        <v>3</v>
      </c>
      <c r="C15" s="3" t="s">
        <v>4</v>
      </c>
      <c r="D15" s="3" t="s">
        <v>5</v>
      </c>
      <c r="E15" s="4"/>
    </row>
    <row r="16" spans="1:5" ht="28.5" x14ac:dyDescent="0.25">
      <c r="A16" s="5" t="s">
        <v>6</v>
      </c>
      <c r="B16" s="23">
        <v>0.75</v>
      </c>
      <c r="C16" s="23">
        <v>0.15</v>
      </c>
      <c r="D16" s="23">
        <v>0.1</v>
      </c>
      <c r="E16" s="24">
        <v>1</v>
      </c>
    </row>
    <row r="17" spans="1:37" ht="42.75" x14ac:dyDescent="0.25">
      <c r="A17" s="5" t="s">
        <v>7</v>
      </c>
      <c r="B17" s="25" t="s">
        <v>8</v>
      </c>
      <c r="C17" s="25" t="s">
        <v>9</v>
      </c>
      <c r="D17" s="25" t="s">
        <v>10</v>
      </c>
      <c r="E17" s="4"/>
    </row>
    <row r="18" spans="1:37" x14ac:dyDescent="0.25">
      <c r="A18" s="5" t="s">
        <v>11</v>
      </c>
      <c r="B18" s="25">
        <f>B16*25</f>
        <v>18.75</v>
      </c>
      <c r="C18" s="25">
        <f t="shared" ref="C18:D18" si="4">C16*25</f>
        <v>3.75</v>
      </c>
      <c r="D18" s="25">
        <f t="shared" si="4"/>
        <v>2.5</v>
      </c>
      <c r="E18" s="4">
        <f>D18+C18+B18</f>
        <v>25</v>
      </c>
    </row>
    <row r="19" spans="1:37" ht="28.5" x14ac:dyDescent="0.25">
      <c r="A19" s="2" t="s">
        <v>12</v>
      </c>
      <c r="B19" s="24">
        <v>1.25</v>
      </c>
      <c r="C19" s="24">
        <v>1.1499999999999999</v>
      </c>
      <c r="D19" s="24">
        <v>0.95</v>
      </c>
      <c r="E19" s="4"/>
    </row>
    <row r="20" spans="1:37" ht="28.5" x14ac:dyDescent="0.25">
      <c r="A20" s="5" t="s">
        <v>30</v>
      </c>
      <c r="B20" s="26">
        <f>B19*B18</f>
        <v>23.4375</v>
      </c>
      <c r="C20" s="26">
        <f t="shared" ref="C20:D20" si="5">C19*C18</f>
        <v>4.3125</v>
      </c>
      <c r="D20" s="26">
        <f t="shared" si="5"/>
        <v>2.375</v>
      </c>
      <c r="E20" s="26">
        <f>D20+C20+B20</f>
        <v>30.125</v>
      </c>
    </row>
    <row r="21" spans="1:37" x14ac:dyDescent="0.25">
      <c r="A21" s="2" t="s">
        <v>13</v>
      </c>
      <c r="B21" s="6">
        <f>9.99*B20</f>
        <v>234.140625</v>
      </c>
      <c r="C21" s="6">
        <f>C20*24.99</f>
        <v>107.769375</v>
      </c>
      <c r="D21" s="6">
        <f>D20*39.99</f>
        <v>94.976250000000007</v>
      </c>
      <c r="E21" s="6">
        <f>D21+C21+B21</f>
        <v>436.88625000000002</v>
      </c>
    </row>
    <row r="22" spans="1:37" ht="42.75" x14ac:dyDescent="0.25">
      <c r="A22" s="2" t="s">
        <v>27</v>
      </c>
      <c r="B22" s="6">
        <v>0</v>
      </c>
      <c r="C22" s="6">
        <f>(20-15)*0.7*C20</f>
        <v>15.09375</v>
      </c>
      <c r="D22" s="6">
        <f>(40-30)*0.7*D20</f>
        <v>16.625</v>
      </c>
      <c r="E22" s="6"/>
    </row>
    <row r="23" spans="1:37" ht="28.5" x14ac:dyDescent="0.25">
      <c r="A23" s="2" t="s">
        <v>28</v>
      </c>
      <c r="B23" s="6">
        <v>0</v>
      </c>
      <c r="C23" s="6">
        <f>-15*0.7*0.1*C20</f>
        <v>-4.5281250000000002</v>
      </c>
      <c r="D23" s="6">
        <f>-30*0.7*0.25*D20</f>
        <v>-12.46875</v>
      </c>
      <c r="E23" s="6"/>
    </row>
    <row r="24" spans="1:37" ht="28.5" x14ac:dyDescent="0.25">
      <c r="A24" s="2" t="s">
        <v>29</v>
      </c>
      <c r="B24" s="6">
        <f>B21+B22+B23</f>
        <v>234.140625</v>
      </c>
      <c r="C24" s="6">
        <f t="shared" ref="C24:D24" si="6">C21+C22+C23</f>
        <v>118.33499999999999</v>
      </c>
      <c r="D24" s="6">
        <f t="shared" si="6"/>
        <v>99.132500000000007</v>
      </c>
      <c r="E24" s="27">
        <f>D24+C24+B24</f>
        <v>451.60812499999997</v>
      </c>
    </row>
    <row r="25" spans="1:37" ht="28.5" x14ac:dyDescent="0.25">
      <c r="A25" s="5" t="s">
        <v>37</v>
      </c>
      <c r="B25" s="6">
        <f>B18*14.99</f>
        <v>281.0625</v>
      </c>
      <c r="C25" s="6">
        <f>C18*14.99</f>
        <v>56.212499999999999</v>
      </c>
      <c r="D25" s="6">
        <f>D18*14.99</f>
        <v>37.475000000000001</v>
      </c>
      <c r="E25" s="27">
        <f>D25+C25+B25</f>
        <v>374.75</v>
      </c>
    </row>
    <row r="26" spans="1:37" ht="42.75" x14ac:dyDescent="0.25">
      <c r="A26" s="7" t="s">
        <v>15</v>
      </c>
      <c r="B26" s="8">
        <f>B24-B25</f>
        <v>-46.921875</v>
      </c>
      <c r="C26" s="8">
        <f t="shared" ref="C26:D26" si="7">C24-C25</f>
        <v>62.122499999999995</v>
      </c>
      <c r="D26" s="8">
        <f t="shared" si="7"/>
        <v>61.657500000000006</v>
      </c>
      <c r="E26" s="8">
        <f>D26+C26+B26</f>
        <v>76.858125000000001</v>
      </c>
    </row>
    <row r="27" spans="1:37" x14ac:dyDescent="0.25">
      <c r="B27" s="22"/>
      <c r="C27" s="22"/>
      <c r="D27" s="22"/>
      <c r="E27" s="22"/>
    </row>
    <row r="29" spans="1:37" ht="15.75" x14ac:dyDescent="0.25">
      <c r="A29" s="10" t="s">
        <v>31</v>
      </c>
    </row>
    <row r="30" spans="1:37" x14ac:dyDescent="0.25">
      <c r="A30" s="1" t="s">
        <v>0</v>
      </c>
      <c r="B30" s="1" t="s">
        <v>34</v>
      </c>
      <c r="C30" s="1" t="s">
        <v>1</v>
      </c>
      <c r="D30" s="1" t="s">
        <v>35</v>
      </c>
      <c r="E30" s="28" t="s">
        <v>14</v>
      </c>
    </row>
    <row r="31" spans="1:37" s="13" customFormat="1" x14ac:dyDescent="0.25">
      <c r="A31" s="11" t="s">
        <v>2</v>
      </c>
      <c r="B31" s="12" t="s">
        <v>3</v>
      </c>
      <c r="C31" s="12" t="s">
        <v>4</v>
      </c>
      <c r="D31" s="12" t="s">
        <v>5</v>
      </c>
      <c r="E31" s="4"/>
      <c r="F31"/>
      <c r="G31"/>
      <c r="H31"/>
      <c r="I31"/>
      <c r="J31"/>
      <c r="K31"/>
      <c r="L31"/>
      <c r="M31"/>
      <c r="N31"/>
      <c r="O31"/>
      <c r="P31"/>
      <c r="Q31"/>
      <c r="R31"/>
      <c r="S31"/>
      <c r="T31"/>
      <c r="U31"/>
      <c r="V31"/>
      <c r="W31"/>
      <c r="X31"/>
      <c r="Y31"/>
      <c r="Z31"/>
      <c r="AA31"/>
      <c r="AB31"/>
      <c r="AC31"/>
      <c r="AD31"/>
      <c r="AE31"/>
      <c r="AF31"/>
      <c r="AG31"/>
      <c r="AH31"/>
      <c r="AI31"/>
      <c r="AJ31"/>
      <c r="AK31"/>
    </row>
    <row r="32" spans="1:37" s="13" customFormat="1" x14ac:dyDescent="0.25">
      <c r="A32" s="14" t="s">
        <v>24</v>
      </c>
      <c r="B32" s="15">
        <v>18.75</v>
      </c>
      <c r="C32" s="15">
        <v>3.75</v>
      </c>
      <c r="D32" s="15">
        <v>2.5</v>
      </c>
      <c r="E32" s="29">
        <f>SUM(B32:D32)</f>
        <v>25</v>
      </c>
      <c r="F32"/>
      <c r="G32"/>
      <c r="H32"/>
      <c r="I32"/>
      <c r="J32"/>
      <c r="K32"/>
      <c r="L32"/>
      <c r="M32"/>
      <c r="N32"/>
      <c r="O32"/>
      <c r="P32"/>
      <c r="Q32"/>
      <c r="R32"/>
      <c r="S32"/>
      <c r="T32"/>
      <c r="U32"/>
      <c r="V32"/>
      <c r="W32"/>
      <c r="X32"/>
      <c r="Y32"/>
      <c r="Z32"/>
      <c r="AA32"/>
      <c r="AB32"/>
      <c r="AC32"/>
      <c r="AD32"/>
      <c r="AE32"/>
      <c r="AF32"/>
      <c r="AG32"/>
      <c r="AH32"/>
      <c r="AI32"/>
      <c r="AJ32"/>
      <c r="AK32"/>
    </row>
    <row r="33" spans="1:37" s="13" customFormat="1" ht="28.5" x14ac:dyDescent="0.25">
      <c r="A33" s="16" t="s">
        <v>25</v>
      </c>
      <c r="B33" s="15">
        <v>1000</v>
      </c>
      <c r="C33" s="15">
        <v>2000</v>
      </c>
      <c r="D33" s="15">
        <v>7200</v>
      </c>
      <c r="E33" s="4"/>
      <c r="F33"/>
      <c r="G33"/>
      <c r="H33"/>
      <c r="I33"/>
      <c r="J33"/>
      <c r="K33"/>
      <c r="L33"/>
      <c r="M33"/>
      <c r="N33"/>
      <c r="O33"/>
      <c r="P33"/>
      <c r="Q33"/>
      <c r="R33"/>
      <c r="S33"/>
      <c r="T33"/>
      <c r="U33"/>
      <c r="V33"/>
      <c r="W33"/>
      <c r="X33"/>
      <c r="Y33"/>
      <c r="Z33"/>
      <c r="AA33"/>
      <c r="AB33"/>
      <c r="AC33"/>
      <c r="AD33"/>
      <c r="AE33"/>
      <c r="AF33"/>
      <c r="AG33"/>
      <c r="AH33"/>
      <c r="AI33"/>
      <c r="AJ33"/>
      <c r="AK33"/>
    </row>
    <row r="34" spans="1:37" s="13" customFormat="1" ht="42.75" x14ac:dyDescent="0.25">
      <c r="A34" s="16" t="s">
        <v>26</v>
      </c>
      <c r="B34" s="17">
        <f>1/0.05</f>
        <v>20</v>
      </c>
      <c r="C34" s="17">
        <f>1/0.04</f>
        <v>25</v>
      </c>
      <c r="D34" s="18">
        <f>1/0.03</f>
        <v>33.333333333333336</v>
      </c>
      <c r="E34" s="4"/>
      <c r="F34"/>
      <c r="G34"/>
      <c r="H34"/>
      <c r="I34"/>
      <c r="J34"/>
      <c r="K34"/>
      <c r="L34"/>
      <c r="M34"/>
      <c r="N34"/>
      <c r="O34"/>
      <c r="P34"/>
      <c r="Q34"/>
      <c r="R34"/>
      <c r="S34"/>
      <c r="T34"/>
      <c r="U34"/>
      <c r="V34"/>
      <c r="W34"/>
      <c r="X34"/>
      <c r="Y34"/>
      <c r="Z34"/>
      <c r="AA34"/>
      <c r="AB34"/>
      <c r="AC34"/>
      <c r="AD34"/>
      <c r="AE34"/>
      <c r="AF34"/>
      <c r="AG34"/>
      <c r="AH34"/>
      <c r="AI34"/>
      <c r="AJ34"/>
      <c r="AK34"/>
    </row>
    <row r="35" spans="1:37" s="13" customFormat="1" ht="28.5" x14ac:dyDescent="0.25">
      <c r="A35" s="11" t="s">
        <v>16</v>
      </c>
      <c r="B35" s="21">
        <f>1/0.045</f>
        <v>22.222222222222221</v>
      </c>
      <c r="C35" s="21">
        <f>1/0.03</f>
        <v>33.333333333333336</v>
      </c>
      <c r="D35" s="21">
        <f>1/0.02</f>
        <v>50</v>
      </c>
      <c r="E35" s="4"/>
      <c r="F35"/>
      <c r="G35"/>
      <c r="H35"/>
      <c r="I35"/>
      <c r="J35"/>
      <c r="K35"/>
      <c r="L35"/>
      <c r="M35"/>
      <c r="N35"/>
      <c r="O35"/>
      <c r="P35"/>
      <c r="Q35"/>
      <c r="R35"/>
      <c r="S35"/>
      <c r="T35"/>
      <c r="U35"/>
      <c r="V35"/>
      <c r="W35"/>
      <c r="X35"/>
      <c r="Y35"/>
      <c r="Z35"/>
      <c r="AA35"/>
      <c r="AB35"/>
      <c r="AC35"/>
      <c r="AD35"/>
      <c r="AE35"/>
      <c r="AF35"/>
      <c r="AG35"/>
      <c r="AH35"/>
      <c r="AI35"/>
      <c r="AJ35"/>
      <c r="AK35"/>
    </row>
    <row r="36" spans="1:37" s="13" customFormat="1" x14ac:dyDescent="0.25">
      <c r="A36" s="11" t="s">
        <v>33</v>
      </c>
      <c r="B36" s="15">
        <v>10000</v>
      </c>
      <c r="C36" s="15">
        <v>10000</v>
      </c>
      <c r="D36" s="15">
        <v>10000</v>
      </c>
      <c r="E36" s="4"/>
      <c r="F36"/>
      <c r="G36"/>
      <c r="H36"/>
      <c r="I36"/>
      <c r="J36"/>
      <c r="K36"/>
      <c r="L36"/>
      <c r="M36"/>
      <c r="N36"/>
      <c r="O36"/>
      <c r="P36"/>
      <c r="Q36"/>
      <c r="R36"/>
      <c r="S36"/>
      <c r="T36"/>
      <c r="U36"/>
      <c r="V36"/>
      <c r="W36"/>
      <c r="X36"/>
      <c r="Y36"/>
      <c r="Z36"/>
      <c r="AA36"/>
      <c r="AB36"/>
      <c r="AC36"/>
      <c r="AD36"/>
      <c r="AE36"/>
      <c r="AF36"/>
      <c r="AG36"/>
      <c r="AH36"/>
      <c r="AI36"/>
      <c r="AJ36"/>
      <c r="AK36"/>
    </row>
    <row r="37" spans="1:37" s="13" customFormat="1" ht="28.5" x14ac:dyDescent="0.25">
      <c r="A37" s="16" t="s">
        <v>17</v>
      </c>
      <c r="B37" s="19">
        <f>B35*B33</f>
        <v>22222.222222222223</v>
      </c>
      <c r="C37" s="19">
        <f t="shared" ref="C37:D37" si="8">C35*C33</f>
        <v>66666.666666666672</v>
      </c>
      <c r="D37" s="19">
        <f t="shared" si="8"/>
        <v>360000</v>
      </c>
      <c r="E37" s="4"/>
      <c r="F37"/>
      <c r="G37"/>
      <c r="H37"/>
      <c r="I37"/>
      <c r="J37"/>
      <c r="K37"/>
      <c r="L37"/>
      <c r="M37"/>
      <c r="N37"/>
      <c r="O37"/>
      <c r="P37"/>
      <c r="Q37"/>
      <c r="R37"/>
      <c r="S37"/>
      <c r="T37"/>
      <c r="U37"/>
      <c r="V37"/>
      <c r="W37"/>
      <c r="X37"/>
      <c r="Y37"/>
      <c r="Z37"/>
      <c r="AA37"/>
      <c r="AB37"/>
      <c r="AC37"/>
      <c r="AD37"/>
      <c r="AE37"/>
      <c r="AF37"/>
      <c r="AG37"/>
      <c r="AH37"/>
      <c r="AI37"/>
      <c r="AJ37"/>
      <c r="AK37"/>
    </row>
    <row r="38" spans="1:37" s="13" customFormat="1" ht="28.5" x14ac:dyDescent="0.25">
      <c r="A38" s="11" t="s">
        <v>18</v>
      </c>
      <c r="B38" s="19">
        <f>20000*B35/12</f>
        <v>37037.037037037036</v>
      </c>
      <c r="C38" s="19">
        <f>20000*C35/12</f>
        <v>55555.555555555562</v>
      </c>
      <c r="D38" s="19">
        <f>20000*D35/12</f>
        <v>83333.333333333328</v>
      </c>
      <c r="E38" s="4"/>
      <c r="F38"/>
      <c r="G38"/>
      <c r="H38"/>
      <c r="I38"/>
      <c r="J38"/>
      <c r="K38"/>
      <c r="L38"/>
      <c r="M38"/>
      <c r="N38"/>
      <c r="O38"/>
      <c r="P38"/>
      <c r="Q38"/>
      <c r="R38"/>
      <c r="S38"/>
      <c r="T38"/>
      <c r="U38"/>
      <c r="V38"/>
      <c r="W38"/>
      <c r="X38"/>
      <c r="Y38"/>
      <c r="Z38"/>
      <c r="AA38"/>
      <c r="AB38"/>
      <c r="AC38"/>
      <c r="AD38"/>
      <c r="AE38"/>
      <c r="AF38"/>
      <c r="AG38"/>
      <c r="AH38"/>
      <c r="AI38"/>
      <c r="AJ38"/>
      <c r="AK38"/>
    </row>
    <row r="39" spans="1:37" s="13" customFormat="1" ht="28.5" x14ac:dyDescent="0.25">
      <c r="A39" s="16" t="s">
        <v>19</v>
      </c>
      <c r="B39" s="19">
        <f>B38+B37+B36</f>
        <v>69259.259259259255</v>
      </c>
      <c r="C39" s="19">
        <f t="shared" ref="C39:D39" si="9">C38+C37+C36</f>
        <v>132222.22222222225</v>
      </c>
      <c r="D39" s="19">
        <f t="shared" si="9"/>
        <v>453333.33333333331</v>
      </c>
      <c r="E39" s="4"/>
      <c r="F39"/>
      <c r="G39"/>
      <c r="H39"/>
      <c r="I39"/>
      <c r="J39"/>
      <c r="K39"/>
      <c r="L39"/>
      <c r="M39"/>
      <c r="N39"/>
      <c r="O39"/>
      <c r="P39"/>
      <c r="Q39"/>
      <c r="R39"/>
      <c r="S39"/>
      <c r="T39"/>
      <c r="U39"/>
      <c r="V39"/>
      <c r="W39"/>
      <c r="X39"/>
      <c r="Y39"/>
      <c r="Z39"/>
      <c r="AA39"/>
      <c r="AB39"/>
      <c r="AC39"/>
      <c r="AD39"/>
      <c r="AE39"/>
      <c r="AF39"/>
      <c r="AG39"/>
      <c r="AH39"/>
      <c r="AI39"/>
      <c r="AJ39"/>
      <c r="AK39"/>
    </row>
    <row r="40" spans="1:37" s="13" customFormat="1" ht="42.75" x14ac:dyDescent="0.25">
      <c r="A40" s="16" t="s">
        <v>20</v>
      </c>
      <c r="B40" s="19">
        <f t="shared" ref="B40" si="10">(B35-B34)*15</f>
        <v>33.333333333333321</v>
      </c>
      <c r="C40" s="19">
        <f>(C35-C34)*15</f>
        <v>125.00000000000003</v>
      </c>
      <c r="D40" s="19">
        <f t="shared" ref="D40" si="11">(D35-D34)*15</f>
        <v>249.99999999999997</v>
      </c>
      <c r="E40" s="4"/>
      <c r="F40"/>
      <c r="G40"/>
      <c r="H40"/>
      <c r="I40"/>
      <c r="J40"/>
      <c r="K40"/>
      <c r="L40"/>
      <c r="M40"/>
      <c r="N40"/>
      <c r="O40"/>
      <c r="P40"/>
      <c r="Q40"/>
      <c r="R40"/>
      <c r="S40"/>
      <c r="T40"/>
      <c r="U40"/>
      <c r="V40"/>
      <c r="W40"/>
      <c r="X40"/>
      <c r="Y40"/>
      <c r="Z40"/>
      <c r="AA40"/>
      <c r="AB40"/>
      <c r="AC40"/>
      <c r="AD40"/>
      <c r="AE40"/>
      <c r="AF40"/>
      <c r="AG40"/>
      <c r="AH40"/>
      <c r="AI40"/>
      <c r="AJ40"/>
      <c r="AK40"/>
    </row>
    <row r="41" spans="1:37" s="13" customFormat="1" ht="28.5" x14ac:dyDescent="0.25">
      <c r="A41" s="16" t="s">
        <v>21</v>
      </c>
      <c r="B41" s="19">
        <f>B39*0.0005</f>
        <v>34.629629629629626</v>
      </c>
      <c r="C41" s="19">
        <f t="shared" ref="C41:D41" si="12">C39*0.0005</f>
        <v>66.111111111111128</v>
      </c>
      <c r="D41" s="19">
        <f t="shared" si="12"/>
        <v>226.66666666666666</v>
      </c>
      <c r="E41" s="4"/>
      <c r="F41"/>
      <c r="G41"/>
      <c r="H41"/>
      <c r="I41"/>
      <c r="J41"/>
      <c r="K41"/>
      <c r="L41"/>
      <c r="M41"/>
      <c r="N41"/>
      <c r="O41"/>
      <c r="P41"/>
      <c r="Q41"/>
      <c r="R41"/>
      <c r="S41"/>
      <c r="T41"/>
      <c r="U41"/>
      <c r="V41"/>
      <c r="W41"/>
      <c r="X41"/>
      <c r="Y41"/>
      <c r="Z41"/>
      <c r="AA41"/>
      <c r="AB41"/>
      <c r="AC41"/>
      <c r="AD41"/>
      <c r="AE41"/>
      <c r="AF41"/>
      <c r="AG41"/>
      <c r="AH41"/>
      <c r="AI41"/>
      <c r="AJ41"/>
      <c r="AK41"/>
    </row>
    <row r="42" spans="1:37" s="13" customFormat="1" ht="42.75" x14ac:dyDescent="0.25">
      <c r="A42" s="11" t="s">
        <v>22</v>
      </c>
      <c r="B42" s="31">
        <f>B40-B41</f>
        <v>-1.2962962962963047</v>
      </c>
      <c r="C42" s="31">
        <f t="shared" ref="C42:D42" si="13">C40-C41</f>
        <v>58.8888888888889</v>
      </c>
      <c r="D42" s="31">
        <f t="shared" si="13"/>
        <v>23.333333333333314</v>
      </c>
      <c r="E42" s="30">
        <f>SUM(B42:D42)</f>
        <v>80.92592592592591</v>
      </c>
      <c r="F42"/>
      <c r="G42"/>
      <c r="H42"/>
      <c r="I42"/>
      <c r="J42"/>
      <c r="K42"/>
      <c r="L42"/>
      <c r="M42"/>
      <c r="N42"/>
      <c r="O42"/>
      <c r="P42"/>
      <c r="Q42"/>
      <c r="R42"/>
      <c r="S42"/>
      <c r="T42"/>
      <c r="U42"/>
      <c r="V42"/>
      <c r="W42"/>
      <c r="X42"/>
      <c r="Y42"/>
      <c r="Z42"/>
      <c r="AA42"/>
      <c r="AB42"/>
      <c r="AC42"/>
      <c r="AD42"/>
      <c r="AE42"/>
      <c r="AF42"/>
      <c r="AG42"/>
      <c r="AH42"/>
      <c r="AI42"/>
      <c r="AJ42"/>
      <c r="AK42"/>
    </row>
    <row r="43" spans="1:37" ht="42.75" x14ac:dyDescent="0.25">
      <c r="A43" s="20" t="s">
        <v>23</v>
      </c>
      <c r="B43" s="32">
        <f>B42*B32</f>
        <v>-24.305555555555713</v>
      </c>
      <c r="C43" s="32">
        <f t="shared" ref="C43:D43" si="14">C42*C32</f>
        <v>220.83333333333337</v>
      </c>
      <c r="D43" s="32">
        <f t="shared" si="14"/>
        <v>58.333333333333286</v>
      </c>
      <c r="E43" s="9">
        <f>D43+C43+B43</f>
        <v>254.86111111111092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DC1112E541EC4085E10E5DF415FB75" ma:contentTypeVersion="16" ma:contentTypeDescription="Create a new document." ma:contentTypeScope="" ma:versionID="5093006e791ef57d9d61a361033a53e1">
  <xsd:schema xmlns:xsd="http://www.w3.org/2001/XMLSchema" xmlns:xs="http://www.w3.org/2001/XMLSchema" xmlns:p="http://schemas.microsoft.com/office/2006/metadata/properties" xmlns:ns2="75c9475c-6d74-435a-a05c-b36bde513665" xmlns:ns3="4c83ebf3-ca78-4ba2-81d1-a975da4aa922" xmlns:ns4="efce84db-8738-4c7b-9bdc-65b9500871f6" targetNamespace="http://schemas.microsoft.com/office/2006/metadata/properties" ma:root="true" ma:fieldsID="19c986517ecc1cc0028fb42187da63a8" ns2:_="" ns3:_="" ns4:_="">
    <xsd:import namespace="75c9475c-6d74-435a-a05c-b36bde513665"/>
    <xsd:import namespace="4c83ebf3-ca78-4ba2-81d1-a975da4aa922"/>
    <xsd:import namespace="efce84db-8738-4c7b-9bdc-65b9500871f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lcf76f155ced4ddcb4097134ff3c332f" minOccurs="0"/>
                <xsd:element ref="ns4:TaxCatchAll" minOccurs="0"/>
                <xsd:element ref="ns3:MediaServiceOCR" minOccurs="0"/>
                <xsd:element ref="ns3:MediaServiceGenerationTime" minOccurs="0"/>
                <xsd:element ref="ns3:MediaServiceEventHashCode" minOccurs="0"/>
                <xsd:element ref="ns3:MediaServiceLocati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c9475c-6d74-435a-a05c-b36bde51366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83ebf3-ca78-4ba2-81d1-a975da4aa92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2d55d72-5afa-45f9-90b6-e0708aeee9a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fce84db-8738-4c7b-9bdc-65b9500871f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7630ac4-691d-436f-8791-8f571a383302}" ma:internalName="TaxCatchAll" ma:showField="CatchAllData" ma:web="75c9475c-6d74-435a-a05c-b36bde5136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FB7F65-EC23-4815-A7B7-03214E1051B0}">
  <ds:schemaRefs>
    <ds:schemaRef ds:uri="http://schemas.microsoft.com/sharepoint/v3/contenttype/forms"/>
  </ds:schemaRefs>
</ds:datastoreItem>
</file>

<file path=customXml/itemProps2.xml><?xml version="1.0" encoding="utf-8"?>
<ds:datastoreItem xmlns:ds="http://schemas.openxmlformats.org/officeDocument/2006/customXml" ds:itemID="{167F19EA-91EA-4A69-A94E-1213268C47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c9475c-6d74-435a-a05c-b36bde513665"/>
    <ds:schemaRef ds:uri="4c83ebf3-ca78-4ba2-81d1-a975da4aa922"/>
    <ds:schemaRef ds:uri="efce84db-8738-4c7b-9bdc-65b9500871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Copyright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Mohanbir Sawhney</dc:creator>
  <cp:lastModifiedBy>Greg Merkley</cp:lastModifiedBy>
  <dcterms:created xsi:type="dcterms:W3CDTF">2022-12-05T19:06:59Z</dcterms:created>
  <dcterms:modified xsi:type="dcterms:W3CDTF">2023-11-08T19:30:22Z</dcterms:modified>
</cp:coreProperties>
</file>
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Übungsaufgaben\"/>
    </mc:Choice>
  </mc:AlternateContent>
  <xr:revisionPtr revIDLastSave="0" documentId="13_ncr:1_{CC97E499-6B2F-4B19-AB01-0A80D935826E}" xr6:coauthVersionLast="47" xr6:coauthVersionMax="47" xr10:uidLastSave="{00000000-0000-0000-0000-000000000000}"/>
  <bookViews>
    <workbookView xWindow="0" yWindow="0" windowWidth="14400" windowHeight="15750" xr2:uid="{E56077D0-99C4-42BE-80F3-8D3F059C1E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B4" i="1"/>
  <c r="B3" i="1"/>
  <c r="D10" i="1"/>
  <c r="C10" i="1"/>
  <c r="B10" i="1"/>
  <c r="E4" i="1" l="1"/>
  <c r="C17" i="1" s="1"/>
  <c r="E3" i="1"/>
  <c r="C15" i="1" s="1"/>
  <c r="B15" i="1" l="1"/>
  <c r="D15" i="1"/>
  <c r="C16" i="1"/>
  <c r="C19" i="1" s="1"/>
  <c r="C20" i="1" s="1"/>
  <c r="D16" i="1"/>
  <c r="B16" i="1"/>
  <c r="B17" i="1"/>
  <c r="D17" i="1"/>
  <c r="B19" i="1" l="1"/>
  <c r="B20" i="1" s="1"/>
  <c r="D19" i="1"/>
  <c r="D20" i="1" s="1"/>
</calcChain>
</file>

<file path=xl/sharedStrings.xml><?xml version="1.0" encoding="utf-8"?>
<sst xmlns="http://schemas.openxmlformats.org/spreadsheetml/2006/main" count="22" uniqueCount="21">
  <si>
    <t>Prozess</t>
  </si>
  <si>
    <t>Gesamtkosten</t>
  </si>
  <si>
    <t>Kostentreiber</t>
  </si>
  <si>
    <t>Stunden</t>
  </si>
  <si>
    <t>Kapazität</t>
  </si>
  <si>
    <t>Prozesskostensatz</t>
  </si>
  <si>
    <t>Aussendienstaktivitäten</t>
  </si>
  <si>
    <t>Innendienstaktivitäten</t>
  </si>
  <si>
    <t>Kunde A</t>
  </si>
  <si>
    <t>Kunde B</t>
  </si>
  <si>
    <t>Kunde C</t>
  </si>
  <si>
    <t>Umsatz</t>
  </si>
  <si>
    <t>Herstellkosten</t>
  </si>
  <si>
    <t>Anzahl Aussendienstbesuche</t>
  </si>
  <si>
    <t>Anzahl telefonische Bestellungen</t>
  </si>
  <si>
    <t>Anzahl Bestellungen über die Website</t>
  </si>
  <si>
    <t>DB</t>
  </si>
  <si>
    <t>DB in %</t>
  </si>
  <si>
    <t>Kosten Aussendienstbesuche</t>
  </si>
  <si>
    <t>Kosten telefonische Bestellungen</t>
  </si>
  <si>
    <t>Kosten Bestellungen über die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</si>
</sst>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164" fontId="0" fillId="0" borderId="0" xfId="1" applyNumberFormat="1" applyFont="1"/>
    <xf numFmtId="3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4E87-0993-4FFF-867E-06DC88D7D696}">
  <dimension ref="A1:E20"/>
  <sheetViews>
    <sheetView tabSelected="1" workbookViewId="0">
      <selection activeCell="C21" sqref="C21"/>
    </sheetView>
  </sheetViews>
  <sheetFormatPr baseColWidth="10" defaultRowHeight="15" x14ac:dyDescent="0.25"/>
  <cols>
    <col min="1" max="1" width="31.7109375" bestFit="1" customWidth="1"/>
    <col min="2" max="5" width="2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3" spans="1:5" x14ac:dyDescent="0.25">
      <c r="A3" t="s">
        <v>6</v>
      </c>
      <c r="B3" s="1">
        <f>4*90000+4*15000</f>
        <v>420000</v>
      </c>
      <c r="C3" s="1" t="s">
        <v>3</v>
      </c>
      <c r="D3" s="1">
        <f>4*1500</f>
        <v>6000</v>
      </c>
      <c r="E3" s="1">
        <f>B3/D3</f>
        <v>70</v>
      </c>
    </row>
    <row r="4" spans="1:5" x14ac:dyDescent="0.25">
      <c r="A4" t="s">
        <v>7</v>
      </c>
      <c r="B4" s="1">
        <f>2*72000</f>
        <v>144000</v>
      </c>
      <c r="C4" s="1" t="s">
        <v>3</v>
      </c>
      <c r="D4" s="1">
        <f>2*1500</f>
        <v>3000</v>
      </c>
      <c r="E4" s="1">
        <f>B4/D4</f>
        <v>48</v>
      </c>
    </row>
    <row r="8" spans="1:5" x14ac:dyDescent="0.25">
      <c r="B8" t="s">
        <v>8</v>
      </c>
      <c r="C8" t="s">
        <v>9</v>
      </c>
      <c r="D8" t="s">
        <v>10</v>
      </c>
    </row>
    <row r="9" spans="1:5" x14ac:dyDescent="0.25">
      <c r="A9" t="s">
        <v>11</v>
      </c>
      <c r="B9" s="1">
        <v>400000</v>
      </c>
      <c r="C9" s="1">
        <v>600000</v>
      </c>
      <c r="D9" s="1">
        <v>800000</v>
      </c>
    </row>
    <row r="10" spans="1:5" x14ac:dyDescent="0.25">
      <c r="A10" t="s">
        <v>12</v>
      </c>
      <c r="B10" s="1">
        <f>B9*0.6</f>
        <v>240000</v>
      </c>
      <c r="C10" s="1">
        <f>C9*0.7</f>
        <v>420000</v>
      </c>
      <c r="D10" s="1">
        <f>D9*0.8</f>
        <v>640000</v>
      </c>
    </row>
    <row r="11" spans="1:5" x14ac:dyDescent="0.25">
      <c r="A11" t="s">
        <v>13</v>
      </c>
      <c r="B11" s="3">
        <v>2</v>
      </c>
      <c r="C11" s="3">
        <v>4</v>
      </c>
      <c r="D11" s="3">
        <v>12</v>
      </c>
    </row>
    <row r="12" spans="1:5" x14ac:dyDescent="0.25">
      <c r="A12" t="s">
        <v>14</v>
      </c>
      <c r="B12" s="3">
        <v>0</v>
      </c>
      <c r="C12" s="3">
        <v>4</v>
      </c>
      <c r="D12" s="3">
        <v>12</v>
      </c>
    </row>
    <row r="13" spans="1:5" x14ac:dyDescent="0.25">
      <c r="A13" t="s">
        <v>15</v>
      </c>
      <c r="B13" s="3">
        <v>12</v>
      </c>
      <c r="C13" s="3">
        <v>4</v>
      </c>
      <c r="D13" s="3">
        <v>0</v>
      </c>
    </row>
    <row r="14" spans="1:5" x14ac:dyDescent="0.25">
      <c r="B14" s="1"/>
      <c r="C14" s="1"/>
      <c r="D14" s="1"/>
    </row>
    <row r="15" spans="1:5" x14ac:dyDescent="0.25">
      <c r="A15" t="s">
        <v>18</v>
      </c>
      <c r="B15" s="1">
        <f>4*B11*$E$3</f>
        <v>560</v>
      </c>
      <c r="C15" s="1">
        <f t="shared" ref="C15:D15" si="0">4*C11*$E$3</f>
        <v>1120</v>
      </c>
      <c r="D15" s="1">
        <f t="shared" si="0"/>
        <v>3360</v>
      </c>
    </row>
    <row r="16" spans="1:5" x14ac:dyDescent="0.25">
      <c r="A16" t="s">
        <v>19</v>
      </c>
      <c r="B16" s="1">
        <f>B12*0.5*$E$4</f>
        <v>0</v>
      </c>
      <c r="C16" s="1">
        <f t="shared" ref="C16:D16" si="1">C12*0.5*$E$4</f>
        <v>96</v>
      </c>
      <c r="D16" s="1">
        <f t="shared" si="1"/>
        <v>288</v>
      </c>
    </row>
    <row r="17" spans="1:4" x14ac:dyDescent="0.25">
      <c r="A17" t="s">
        <v>20</v>
      </c>
      <c r="B17" s="1">
        <f>0.2*B13*$E$4</f>
        <v>115.20000000000002</v>
      </c>
      <c r="C17" s="1">
        <f t="shared" ref="C17:D17" si="2">0.2*C13*$E$4</f>
        <v>38.400000000000006</v>
      </c>
      <c r="D17" s="1">
        <f t="shared" si="2"/>
        <v>0</v>
      </c>
    </row>
    <row r="18" spans="1:4" x14ac:dyDescent="0.25">
      <c r="B18" s="1"/>
      <c r="C18" s="1"/>
      <c r="D18" s="1"/>
    </row>
    <row r="19" spans="1:4" x14ac:dyDescent="0.25">
      <c r="A19" t="s">
        <v>16</v>
      </c>
      <c r="B19" s="1">
        <f>B9-B10-B15-B16-B17</f>
        <v>159324.79999999999</v>
      </c>
      <c r="C19" s="1">
        <f t="shared" ref="C19:D19" si="3">C9-C10-C15-C16-C17</f>
        <v>178745.60000000001</v>
      </c>
      <c r="D19" s="1">
        <f t="shared" si="3"/>
        <v>156352</v>
      </c>
    </row>
    <row r="20" spans="1:4" x14ac:dyDescent="0.25">
      <c r="A20" t="s">
        <v>17</v>
      </c>
      <c r="B20" s="2">
        <f>B19/B9</f>
        <v>0.39831199999999994</v>
      </c>
      <c r="C20" s="2">
        <f t="shared" ref="C20:D20" si="4">C19/C9</f>
        <v>0.29790933333333336</v>
      </c>
      <c r="D20" s="2">
        <f t="shared" si="4"/>
        <v>0.19544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E4F01FC5C290C43B4692125A7621A4F" ma:contentTypeVersion="1" ma:contentTypeDescription="Ein neues Dokument erstellen." ma:contentTypeScope="" ma:versionID="3348ded426f1f192dd66ac9d717c64e6">
  <xsd:schema xmlns:xsd="http://www.w3.org/2001/XMLSchema" xmlns:xs="http://www.w3.org/2001/XMLSchema" xmlns:p="http://schemas.microsoft.com/office/2006/metadata/properties" xmlns:ns2="543de0c8-3f7e-4339-861d-eb8484949f36" targetNamespace="http://schemas.microsoft.com/office/2006/metadata/properties" ma:root="true" ma:fieldsID="84b07efe892d8574a592dfab64ac1085" ns2:_="">
    <xsd:import namespace="543de0c8-3f7e-4339-861d-eb8484949f3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de0c8-3f7e-4339-861d-eb8484949f3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5FD73E-0535-41F5-8135-4C927DE42C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4E7E9D-F0E1-4C06-8DF9-2ADCCC4C12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de0c8-3f7e-4339-861d-eb8484949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38D3F4-1FD8-49B6-9D3A-C93781A74AD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Mueller</dc:creator>
  <cp:lastModifiedBy>Heim Nina (hemi)</cp:lastModifiedBy>
  <dcterms:created xsi:type="dcterms:W3CDTF">2022-02-15T09:59:43Z</dcterms:created>
  <dcterms:modified xsi:type="dcterms:W3CDTF">2024-08-27T18:18:19Z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2022-02-15T09:59:44Z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b27e628d-a707-42fd-b55b-d4bc356c23ae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0x0101009E4F01FC5C290C43B4692125A7621A4F</vt:lpwstr>
  </property>
</Properties>
</file>
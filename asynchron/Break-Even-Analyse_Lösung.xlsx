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Übungsaufgaben\"/>
    </mc:Choice>
  </mc:AlternateContent>
  <xr:revisionPtr revIDLastSave="0" documentId="13_ncr:1_{091BA362-8CA2-4EA2-BF50-755F3F5B3E06}" xr6:coauthVersionLast="47" xr6:coauthVersionMax="47" xr10:uidLastSave="{00000000-0000-0000-0000-000000000000}"/>
  <bookViews>
    <workbookView xWindow="14400" yWindow="0" windowWidth="14400" windowHeight="15750" xr2:uid="{0015DFA5-43E1-459B-8A26-FB9F8BD803F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9" i="1" l="1"/>
  <c r="E11" i="1"/>
  <c r="D11" i="1"/>
  <c r="C11" i="1"/>
  <c r="D8" i="1"/>
  <c r="E8" i="1"/>
  <c r="C8" i="1"/>
  <c r="E7" i="1"/>
  <c r="E9" i="1" s="1"/>
  <c r="E10" i="1" s="1"/>
  <c r="E4" i="1"/>
  <c r="D4" i="1"/>
  <c r="D7" i="1" s="1"/>
  <c r="D9" i="1" s="1"/>
  <c r="D10" i="1" s="1"/>
  <c r="C7" i="1"/>
  <c r="C10" i="1" s="1"/>
</calcChain>
</file>

<file path=xl/sharedStrings.xml><?xml version="1.0" encoding="utf-8"?>
<sst xmlns="http://schemas.openxmlformats.org/spreadsheetml/2006/main" count="12" uniqueCount="12">
  <si>
    <t>Übungsaufgabe zur Break-Even-Analyse</t>
  </si>
  <si>
    <t>Preis</t>
  </si>
  <si>
    <t>variable Kosten</t>
  </si>
  <si>
    <t>Fixkosten</t>
  </si>
  <si>
    <t>Stückdeckungsbeitrag</t>
  </si>
  <si>
    <t>Break-Even-Menge</t>
  </si>
  <si>
    <t>Fall 1</t>
  </si>
  <si>
    <t>Fall 2</t>
  </si>
  <si>
    <t>Fall 3</t>
  </si>
  <si>
    <t>Deckungsbeitragsrate</t>
  </si>
  <si>
    <t>Break-Even-Umsatz (Berechnungsvariante 1)</t>
  </si>
  <si>
    <t>Break-Even-Umsatz (Berechnungsvariante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</si>
</sst>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B54F4-598A-4208-8F5E-6375D54F0EEF}">
  <dimension ref="A1:E11"/>
  <sheetViews>
    <sheetView tabSelected="1" workbookViewId="0">
      <selection activeCell="E4" sqref="E4"/>
    </sheetView>
  </sheetViews>
  <sheetFormatPr baseColWidth="10" defaultRowHeight="15" x14ac:dyDescent="0.25"/>
  <cols>
    <col min="1" max="1" width="37.5703125" bestFit="1" customWidth="1"/>
  </cols>
  <sheetData>
    <row r="1" spans="1:5" x14ac:dyDescent="0.25">
      <c r="A1" s="2" t="s">
        <v>0</v>
      </c>
    </row>
    <row r="3" spans="1:5" x14ac:dyDescent="0.25">
      <c r="C3" t="s">
        <v>6</v>
      </c>
      <c r="D3" t="s">
        <v>7</v>
      </c>
      <c r="E3" t="s">
        <v>8</v>
      </c>
    </row>
    <row r="4" spans="1:5" x14ac:dyDescent="0.25">
      <c r="A4" t="s">
        <v>1</v>
      </c>
      <c r="C4" s="1">
        <v>490</v>
      </c>
      <c r="D4" s="1">
        <f>C4+0.1*C4</f>
        <v>539</v>
      </c>
      <c r="E4" s="1">
        <f>C4-0.1*C4</f>
        <v>441</v>
      </c>
    </row>
    <row r="5" spans="1:5" x14ac:dyDescent="0.25">
      <c r="A5" t="s">
        <v>2</v>
      </c>
      <c r="C5" s="1">
        <v>160</v>
      </c>
      <c r="D5" s="1">
        <v>160</v>
      </c>
      <c r="E5" s="1">
        <v>160</v>
      </c>
    </row>
    <row r="6" spans="1:5" x14ac:dyDescent="0.25">
      <c r="A6" t="s">
        <v>3</v>
      </c>
      <c r="C6" s="1">
        <v>120000</v>
      </c>
      <c r="D6" s="1">
        <v>120000</v>
      </c>
      <c r="E6" s="1">
        <v>120000</v>
      </c>
    </row>
    <row r="7" spans="1:5" x14ac:dyDescent="0.25">
      <c r="A7" t="s">
        <v>4</v>
      </c>
      <c r="C7" s="1">
        <f>C4-C5</f>
        <v>330</v>
      </c>
      <c r="D7" s="1">
        <f>D4-D5</f>
        <v>379</v>
      </c>
      <c r="E7" s="1">
        <f>E4-E5</f>
        <v>281</v>
      </c>
    </row>
    <row r="8" spans="1:5" x14ac:dyDescent="0.25">
      <c r="A8" t="s">
        <v>9</v>
      </c>
      <c r="C8" s="1">
        <f>C7/C4</f>
        <v>0.67346938775510201</v>
      </c>
      <c r="D8" s="1">
        <f t="shared" ref="D8:E8" si="0">D7/D4</f>
        <v>0.70315398886827463</v>
      </c>
      <c r="E8" s="1">
        <f t="shared" si="0"/>
        <v>0.63718820861678005</v>
      </c>
    </row>
    <row r="9" spans="1:5" x14ac:dyDescent="0.25">
      <c r="A9" t="s">
        <v>5</v>
      </c>
      <c r="C9" s="1">
        <f>C6/C7</f>
        <v>363.63636363636363</v>
      </c>
      <c r="D9" s="1">
        <f>D6/D7</f>
        <v>316.62269129287597</v>
      </c>
      <c r="E9" s="1">
        <f>E6/E7</f>
        <v>427.04626334519571</v>
      </c>
    </row>
    <row r="10" spans="1:5" x14ac:dyDescent="0.25">
      <c r="A10" t="s">
        <v>10</v>
      </c>
      <c r="C10" s="1">
        <f>C9*C4</f>
        <v>178181.81818181818</v>
      </c>
      <c r="D10" s="1">
        <f>D9*D4</f>
        <v>170659.63060686016</v>
      </c>
      <c r="E10" s="1">
        <f>E9*E4</f>
        <v>188327.4021352313</v>
      </c>
    </row>
    <row r="11" spans="1:5" x14ac:dyDescent="0.25">
      <c r="A11" t="s">
        <v>11</v>
      </c>
      <c r="C11" s="1">
        <f>C6/C8</f>
        <v>178181.81818181818</v>
      </c>
      <c r="D11" s="1">
        <f>D6/D8</f>
        <v>170659.63060686016</v>
      </c>
      <c r="E11" s="1">
        <f>E6/E8</f>
        <v>188327.40213523133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E4F01FC5C290C43B4692125A7621A4F" ma:contentTypeVersion="1" ma:contentTypeDescription="Ein neues Dokument erstellen." ma:contentTypeScope="" ma:versionID="3348ded426f1f192dd66ac9d717c64e6">
  <xsd:schema xmlns:xsd="http://www.w3.org/2001/XMLSchema" xmlns:xs="http://www.w3.org/2001/XMLSchema" xmlns:p="http://schemas.microsoft.com/office/2006/metadata/properties" xmlns:ns2="543de0c8-3f7e-4339-861d-eb8484949f36" targetNamespace="http://schemas.microsoft.com/office/2006/metadata/properties" ma:root="true" ma:fieldsID="84b07efe892d8574a592dfab64ac1085" ns2:_="">
    <xsd:import namespace="543de0c8-3f7e-4339-861d-eb8484949f3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de0c8-3f7e-4339-861d-eb8484949f3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7AD2C1-2638-4EA1-A7E6-4D04457F3B7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B37DEF5-799F-4D1B-8CC5-D012E4B4DD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3de0c8-3f7e-4339-861d-eb8484949f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53ABB4-F018-4D37-AB53-386640CD67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Steffen Mueller</dc:creator>
  <cp:lastModifiedBy>Heim Nina (hemi)</cp:lastModifiedBy>
  <dcterms:created xsi:type="dcterms:W3CDTF">2022-03-30T10:26:57Z</dcterms:created>
  <dcterms:modified xsi:type="dcterms:W3CDTF">2024-08-27T18:34:50Z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2022-03-30T10:26:58Z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dbe2534f-daac-4f14-a1ab-3622f39bb2bd</vt:lpwstr>
  </property>
  <property fmtid="{D5CDD505-2E9C-101B-9397-08002B2CF9AE}" pid="8" name="MSIP_Label_10d9bad3-6dac-4e9a-89a3-89f3b8d247b2_ContentBits">
    <vt:lpwstr>0</vt:lpwstr>
  </property>
  <property fmtid="{D5CDD505-2E9C-101B-9397-08002B2CF9AE}" pid="9" name="ContentTypeId">
    <vt:lpwstr>0x0101009E4F01FC5C290C43B4692125A7621A4F</vt:lpwstr>
  </property>
</Properties>
</file>
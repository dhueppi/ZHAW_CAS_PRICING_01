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Switchdrive\ZHAW\Weiterbildung\CAS PRIS\2021 FS\"/>
    </mc:Choice>
  </mc:AlternateContent>
  <xr:revisionPtr revIDLastSave="0" documentId="13_ncr:1_{5FEC51AE-97B5-422A-8FEF-BB9E6893D7CA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1-Frequencies" sheetId="1" r:id="rId1"/>
    <sheet name="2-Data" sheetId="2" r:id="rId2"/>
    <sheet name="3-Graph van Westendorp" sheetId="10" r:id="rId3"/>
    <sheet name="4-Graph &quot;Price OK&quot;" sheetId="11" r:id="rId4"/>
    <sheet name="5-Graph Financials" sheetId="12" r:id="rId5"/>
  </sheets>
  <definedNames>
    <definedName name="_xlnm._FilterDatabase" localSheetId="1" hidden="1">'2-Data'!$A$2:$E$66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3" i="2"/>
  <c r="C1" i="2" l="1"/>
  <c r="I12" i="2" s="1"/>
  <c r="J12" i="2" s="1"/>
  <c r="P12" i="2" s="1"/>
  <c r="D1" i="2"/>
  <c r="L28" i="2" s="1"/>
  <c r="Q28" i="2" s="1"/>
  <c r="E1" i="2"/>
  <c r="N57" i="2" s="1"/>
  <c r="B1" i="2"/>
  <c r="G16" i="2" s="1"/>
  <c r="H16" i="2" s="1"/>
  <c r="N66" i="2" l="1"/>
  <c r="N48" i="2"/>
  <c r="N6" i="2"/>
  <c r="N63" i="2"/>
  <c r="N45" i="2"/>
  <c r="N38" i="2"/>
  <c r="N20" i="2"/>
  <c r="N31" i="2"/>
  <c r="N17" i="2"/>
  <c r="N18" i="2"/>
  <c r="N46" i="2"/>
  <c r="N7" i="2"/>
  <c r="N39" i="2"/>
  <c r="N3" i="2"/>
  <c r="N28" i="2"/>
  <c r="N60" i="2"/>
  <c r="N21" i="2"/>
  <c r="N49" i="2"/>
  <c r="N22" i="2"/>
  <c r="N50" i="2"/>
  <c r="N19" i="2"/>
  <c r="N47" i="2"/>
  <c r="N4" i="2"/>
  <c r="N36" i="2"/>
  <c r="N64" i="2"/>
  <c r="N29" i="2"/>
  <c r="N61" i="2"/>
  <c r="N30" i="2"/>
  <c r="N62" i="2"/>
  <c r="N23" i="2"/>
  <c r="N51" i="2"/>
  <c r="N16" i="2"/>
  <c r="S16" i="2" s="1"/>
  <c r="N44" i="2"/>
  <c r="N5" i="2"/>
  <c r="N37" i="2"/>
  <c r="N65" i="2"/>
  <c r="N14" i="2"/>
  <c r="N34" i="2"/>
  <c r="N54" i="2"/>
  <c r="N15" i="2"/>
  <c r="N35" i="2"/>
  <c r="N55" i="2"/>
  <c r="N12" i="2"/>
  <c r="N32" i="2"/>
  <c r="N52" i="2"/>
  <c r="N13" i="2"/>
  <c r="N33" i="2"/>
  <c r="N53" i="2"/>
  <c r="L17" i="2"/>
  <c r="Q17" i="2" s="1"/>
  <c r="L56" i="2"/>
  <c r="Q56" i="2" s="1"/>
  <c r="L49" i="2"/>
  <c r="Q49" i="2" s="1"/>
  <c r="L30" i="2"/>
  <c r="Q30" i="2" s="1"/>
  <c r="N10" i="2"/>
  <c r="N26" i="2"/>
  <c r="N42" i="2"/>
  <c r="N58" i="2"/>
  <c r="N11" i="2"/>
  <c r="N27" i="2"/>
  <c r="N43" i="2"/>
  <c r="N59" i="2"/>
  <c r="N8" i="2"/>
  <c r="N24" i="2"/>
  <c r="N40" i="2"/>
  <c r="N56" i="2"/>
  <c r="N9" i="2"/>
  <c r="N25" i="2"/>
  <c r="N41" i="2"/>
  <c r="L66" i="2"/>
  <c r="Q66" i="2" s="1"/>
  <c r="L27" i="2"/>
  <c r="Q27" i="2" s="1"/>
  <c r="L59" i="2"/>
  <c r="Q59" i="2" s="1"/>
  <c r="L52" i="2"/>
  <c r="Q52" i="2" s="1"/>
  <c r="L33" i="2"/>
  <c r="Q33" i="2" s="1"/>
  <c r="L65" i="2"/>
  <c r="Q65" i="2" s="1"/>
  <c r="L31" i="2"/>
  <c r="Q31" i="2" s="1"/>
  <c r="L24" i="2"/>
  <c r="Q24" i="2" s="1"/>
  <c r="L14" i="2"/>
  <c r="Q14" i="2" s="1"/>
  <c r="L50" i="2"/>
  <c r="Q50" i="2" s="1"/>
  <c r="L63" i="2"/>
  <c r="Q63" i="2" s="1"/>
  <c r="L60" i="2"/>
  <c r="Q60" i="2" s="1"/>
  <c r="L5" i="2"/>
  <c r="Q5" i="2" s="1"/>
  <c r="L37" i="2"/>
  <c r="Q37" i="2" s="1"/>
  <c r="L46" i="2"/>
  <c r="Q46" i="2" s="1"/>
  <c r="L35" i="2"/>
  <c r="Q35" i="2" s="1"/>
  <c r="L32" i="2"/>
  <c r="Q32" i="2" s="1"/>
  <c r="L18" i="2"/>
  <c r="Q18" i="2" s="1"/>
  <c r="L62" i="2"/>
  <c r="Q62" i="2" s="1"/>
  <c r="L4" i="2"/>
  <c r="Q4" i="2" s="1"/>
  <c r="L21" i="2"/>
  <c r="Q21" i="2" s="1"/>
  <c r="L53" i="2"/>
  <c r="Q53" i="2" s="1"/>
  <c r="L7" i="2"/>
  <c r="Q7" i="2" s="1"/>
  <c r="L3" i="2"/>
  <c r="Q3" i="2" s="1"/>
  <c r="L64" i="2"/>
  <c r="Q64" i="2" s="1"/>
  <c r="L34" i="2"/>
  <c r="Q34" i="2" s="1"/>
  <c r="L39" i="2"/>
  <c r="Q39" i="2" s="1"/>
  <c r="L36" i="2"/>
  <c r="Q36" i="2" s="1"/>
  <c r="L9" i="2"/>
  <c r="Q9" i="2" s="1"/>
  <c r="L25" i="2"/>
  <c r="Q25" i="2" s="1"/>
  <c r="L41" i="2"/>
  <c r="Q41" i="2" s="1"/>
  <c r="L57" i="2"/>
  <c r="Q57" i="2" s="1"/>
  <c r="L54" i="2"/>
  <c r="Q54" i="2" s="1"/>
  <c r="L15" i="2"/>
  <c r="Q15" i="2" s="1"/>
  <c r="L43" i="2"/>
  <c r="Q43" i="2" s="1"/>
  <c r="L8" i="2"/>
  <c r="Q8" i="2" s="1"/>
  <c r="L40" i="2"/>
  <c r="Q40" i="2" s="1"/>
  <c r="L6" i="2"/>
  <c r="Q6" i="2" s="1"/>
  <c r="L22" i="2"/>
  <c r="Q22" i="2" s="1"/>
  <c r="L38" i="2"/>
  <c r="Q38" i="2" s="1"/>
  <c r="L11" i="2"/>
  <c r="Q11" i="2" s="1"/>
  <c r="L47" i="2"/>
  <c r="Q47" i="2" s="1"/>
  <c r="L12" i="2"/>
  <c r="Q12" i="2" s="1"/>
  <c r="L44" i="2"/>
  <c r="Q44" i="2" s="1"/>
  <c r="L13" i="2"/>
  <c r="Q13" i="2" s="1"/>
  <c r="L29" i="2"/>
  <c r="Q29" i="2" s="1"/>
  <c r="L45" i="2"/>
  <c r="Q45" i="2" s="1"/>
  <c r="L61" i="2"/>
  <c r="Q61" i="2" s="1"/>
  <c r="L58" i="2"/>
  <c r="Q58" i="2" s="1"/>
  <c r="L23" i="2"/>
  <c r="Q23" i="2" s="1"/>
  <c r="L51" i="2"/>
  <c r="Q51" i="2" s="1"/>
  <c r="L16" i="2"/>
  <c r="Q16" i="2" s="1"/>
  <c r="L48" i="2"/>
  <c r="Q48" i="2" s="1"/>
  <c r="L10" i="2"/>
  <c r="Q10" i="2" s="1"/>
  <c r="L26" i="2"/>
  <c r="Q26" i="2" s="1"/>
  <c r="L42" i="2"/>
  <c r="Q42" i="2" s="1"/>
  <c r="L19" i="2"/>
  <c r="Q19" i="2" s="1"/>
  <c r="L55" i="2"/>
  <c r="Q55" i="2" s="1"/>
  <c r="L20" i="2"/>
  <c r="Q20" i="2" s="1"/>
  <c r="I39" i="2"/>
  <c r="J39" i="2" s="1"/>
  <c r="P39" i="2" s="1"/>
  <c r="I63" i="2"/>
  <c r="J63" i="2" s="1"/>
  <c r="P63" i="2" s="1"/>
  <c r="I31" i="2"/>
  <c r="J31" i="2" s="1"/>
  <c r="P31" i="2" s="1"/>
  <c r="I55" i="2"/>
  <c r="J55" i="2" s="1"/>
  <c r="P55" i="2" s="1"/>
  <c r="I22" i="2"/>
  <c r="J22" i="2" s="1"/>
  <c r="P22" i="2" s="1"/>
  <c r="I47" i="2"/>
  <c r="J47" i="2" s="1"/>
  <c r="P47" i="2" s="1"/>
  <c r="G8" i="2"/>
  <c r="H8" i="2" s="1"/>
  <c r="S8" i="2" s="1"/>
  <c r="G64" i="2"/>
  <c r="H64" i="2" s="1"/>
  <c r="S64" i="2" s="1"/>
  <c r="G54" i="2"/>
  <c r="H54" i="2" s="1"/>
  <c r="S54" i="2" s="1"/>
  <c r="G43" i="2"/>
  <c r="H43" i="2" s="1"/>
  <c r="G32" i="2"/>
  <c r="H32" i="2" s="1"/>
  <c r="S32" i="2" s="1"/>
  <c r="G22" i="2"/>
  <c r="H22" i="2" s="1"/>
  <c r="I7" i="2"/>
  <c r="J7" i="2" s="1"/>
  <c r="P7" i="2" s="1"/>
  <c r="I11" i="2"/>
  <c r="J11" i="2" s="1"/>
  <c r="P11" i="2" s="1"/>
  <c r="I15" i="2"/>
  <c r="J15" i="2" s="1"/>
  <c r="P15" i="2" s="1"/>
  <c r="I19" i="2"/>
  <c r="J19" i="2" s="1"/>
  <c r="P19" i="2" s="1"/>
  <c r="I23" i="2"/>
  <c r="J23" i="2" s="1"/>
  <c r="P23" i="2" s="1"/>
  <c r="I5" i="2"/>
  <c r="J5" i="2" s="1"/>
  <c r="P5" i="2" s="1"/>
  <c r="I10" i="2"/>
  <c r="J10" i="2" s="1"/>
  <c r="P10" i="2" s="1"/>
  <c r="I16" i="2"/>
  <c r="J16" i="2" s="1"/>
  <c r="P16" i="2" s="1"/>
  <c r="I21" i="2"/>
  <c r="J21" i="2" s="1"/>
  <c r="P21" i="2" s="1"/>
  <c r="I26" i="2"/>
  <c r="J26" i="2" s="1"/>
  <c r="P26" i="2" s="1"/>
  <c r="I30" i="2"/>
  <c r="J30" i="2" s="1"/>
  <c r="P30" i="2" s="1"/>
  <c r="I34" i="2"/>
  <c r="J34" i="2" s="1"/>
  <c r="P34" i="2" s="1"/>
  <c r="I38" i="2"/>
  <c r="J38" i="2" s="1"/>
  <c r="P38" i="2" s="1"/>
  <c r="I42" i="2"/>
  <c r="J42" i="2" s="1"/>
  <c r="P42" i="2" s="1"/>
  <c r="I46" i="2"/>
  <c r="J46" i="2" s="1"/>
  <c r="P46" i="2" s="1"/>
  <c r="I50" i="2"/>
  <c r="J50" i="2" s="1"/>
  <c r="P50" i="2" s="1"/>
  <c r="I54" i="2"/>
  <c r="J54" i="2" s="1"/>
  <c r="P54" i="2" s="1"/>
  <c r="I58" i="2"/>
  <c r="J58" i="2" s="1"/>
  <c r="P58" i="2" s="1"/>
  <c r="I62" i="2"/>
  <c r="J62" i="2" s="1"/>
  <c r="P62" i="2" s="1"/>
  <c r="I66" i="2"/>
  <c r="J66" i="2" s="1"/>
  <c r="P66" i="2" s="1"/>
  <c r="I8" i="2"/>
  <c r="J8" i="2" s="1"/>
  <c r="P8" i="2" s="1"/>
  <c r="I13" i="2"/>
  <c r="J13" i="2" s="1"/>
  <c r="P13" i="2" s="1"/>
  <c r="I18" i="2"/>
  <c r="J18" i="2" s="1"/>
  <c r="P18" i="2" s="1"/>
  <c r="I24" i="2"/>
  <c r="J24" i="2" s="1"/>
  <c r="P24" i="2" s="1"/>
  <c r="I28" i="2"/>
  <c r="J28" i="2" s="1"/>
  <c r="P28" i="2" s="1"/>
  <c r="I32" i="2"/>
  <c r="J32" i="2" s="1"/>
  <c r="P32" i="2" s="1"/>
  <c r="I36" i="2"/>
  <c r="J36" i="2" s="1"/>
  <c r="P36" i="2" s="1"/>
  <c r="I40" i="2"/>
  <c r="J40" i="2" s="1"/>
  <c r="P40" i="2" s="1"/>
  <c r="I44" i="2"/>
  <c r="J44" i="2" s="1"/>
  <c r="P44" i="2" s="1"/>
  <c r="I48" i="2"/>
  <c r="J48" i="2" s="1"/>
  <c r="P48" i="2" s="1"/>
  <c r="I52" i="2"/>
  <c r="J52" i="2" s="1"/>
  <c r="P52" i="2" s="1"/>
  <c r="I56" i="2"/>
  <c r="J56" i="2" s="1"/>
  <c r="P56" i="2" s="1"/>
  <c r="I60" i="2"/>
  <c r="J60" i="2" s="1"/>
  <c r="P60" i="2" s="1"/>
  <c r="I64" i="2"/>
  <c r="J64" i="2" s="1"/>
  <c r="P64" i="2" s="1"/>
  <c r="I61" i="2"/>
  <c r="J61" i="2" s="1"/>
  <c r="P61" i="2" s="1"/>
  <c r="I53" i="2"/>
  <c r="J53" i="2" s="1"/>
  <c r="P53" i="2" s="1"/>
  <c r="I45" i="2"/>
  <c r="J45" i="2" s="1"/>
  <c r="P45" i="2" s="1"/>
  <c r="I37" i="2"/>
  <c r="J37" i="2" s="1"/>
  <c r="P37" i="2" s="1"/>
  <c r="I29" i="2"/>
  <c r="J29" i="2" s="1"/>
  <c r="P29" i="2" s="1"/>
  <c r="I20" i="2"/>
  <c r="J20" i="2" s="1"/>
  <c r="P20" i="2" s="1"/>
  <c r="I9" i="2"/>
  <c r="J9" i="2" s="1"/>
  <c r="P9" i="2" s="1"/>
  <c r="G5" i="2"/>
  <c r="H5" i="2" s="1"/>
  <c r="S5" i="2" s="1"/>
  <c r="G62" i="2"/>
  <c r="H62" i="2" s="1"/>
  <c r="S62" i="2" s="1"/>
  <c r="G51" i="2"/>
  <c r="H51" i="2" s="1"/>
  <c r="G40" i="2"/>
  <c r="H40" i="2" s="1"/>
  <c r="S40" i="2" s="1"/>
  <c r="G30" i="2"/>
  <c r="H30" i="2" s="1"/>
  <c r="S30" i="2" s="1"/>
  <c r="G19" i="2"/>
  <c r="H19" i="2" s="1"/>
  <c r="S19" i="2" s="1"/>
  <c r="I3" i="2"/>
  <c r="J3" i="2" s="1"/>
  <c r="P3" i="2" s="1"/>
  <c r="I59" i="2"/>
  <c r="J59" i="2" s="1"/>
  <c r="P59" i="2" s="1"/>
  <c r="I51" i="2"/>
  <c r="J51" i="2" s="1"/>
  <c r="P51" i="2" s="1"/>
  <c r="I43" i="2"/>
  <c r="J43" i="2" s="1"/>
  <c r="P43" i="2" s="1"/>
  <c r="I35" i="2"/>
  <c r="J35" i="2" s="1"/>
  <c r="P35" i="2" s="1"/>
  <c r="I27" i="2"/>
  <c r="J27" i="2" s="1"/>
  <c r="P27" i="2" s="1"/>
  <c r="I17" i="2"/>
  <c r="J17" i="2" s="1"/>
  <c r="P17" i="2" s="1"/>
  <c r="I6" i="2"/>
  <c r="J6" i="2" s="1"/>
  <c r="P6" i="2" s="1"/>
  <c r="G12" i="2"/>
  <c r="H12" i="2" s="1"/>
  <c r="G59" i="2"/>
  <c r="H59" i="2" s="1"/>
  <c r="S59" i="2" s="1"/>
  <c r="G48" i="2"/>
  <c r="H48" i="2" s="1"/>
  <c r="S48" i="2" s="1"/>
  <c r="G38" i="2"/>
  <c r="H38" i="2" s="1"/>
  <c r="S38" i="2" s="1"/>
  <c r="G27" i="2"/>
  <c r="H27" i="2" s="1"/>
  <c r="S27" i="2" s="1"/>
  <c r="G17" i="2"/>
  <c r="H17" i="2" s="1"/>
  <c r="S17" i="2" s="1"/>
  <c r="G21" i="2"/>
  <c r="H21" i="2" s="1"/>
  <c r="S21" i="2" s="1"/>
  <c r="G25" i="2"/>
  <c r="H25" i="2" s="1"/>
  <c r="S25" i="2" s="1"/>
  <c r="G29" i="2"/>
  <c r="H29" i="2" s="1"/>
  <c r="S29" i="2" s="1"/>
  <c r="G33" i="2"/>
  <c r="H33" i="2" s="1"/>
  <c r="S33" i="2" s="1"/>
  <c r="G37" i="2"/>
  <c r="H37" i="2" s="1"/>
  <c r="G41" i="2"/>
  <c r="H41" i="2" s="1"/>
  <c r="G45" i="2"/>
  <c r="H45" i="2" s="1"/>
  <c r="S45" i="2" s="1"/>
  <c r="G49" i="2"/>
  <c r="H49" i="2" s="1"/>
  <c r="S49" i="2" s="1"/>
  <c r="G53" i="2"/>
  <c r="H53" i="2" s="1"/>
  <c r="S53" i="2" s="1"/>
  <c r="G57" i="2"/>
  <c r="H57" i="2" s="1"/>
  <c r="S57" i="2" s="1"/>
  <c r="G61" i="2"/>
  <c r="H61" i="2" s="1"/>
  <c r="G65" i="2"/>
  <c r="H65" i="2" s="1"/>
  <c r="S65" i="2" s="1"/>
  <c r="G11" i="2"/>
  <c r="H11" i="2" s="1"/>
  <c r="S11" i="2" s="1"/>
  <c r="G6" i="2"/>
  <c r="H6" i="2" s="1"/>
  <c r="G3" i="2"/>
  <c r="H3" i="2" s="1"/>
  <c r="S3" i="2" s="1"/>
  <c r="G15" i="2"/>
  <c r="H15" i="2" s="1"/>
  <c r="S15" i="2" s="1"/>
  <c r="G20" i="2"/>
  <c r="H20" i="2" s="1"/>
  <c r="G26" i="2"/>
  <c r="H26" i="2" s="1"/>
  <c r="S26" i="2" s="1"/>
  <c r="G31" i="2"/>
  <c r="H31" i="2" s="1"/>
  <c r="S31" i="2" s="1"/>
  <c r="G36" i="2"/>
  <c r="H36" i="2" s="1"/>
  <c r="S36" i="2" s="1"/>
  <c r="G42" i="2"/>
  <c r="H42" i="2" s="1"/>
  <c r="G47" i="2"/>
  <c r="H47" i="2" s="1"/>
  <c r="S47" i="2" s="1"/>
  <c r="G52" i="2"/>
  <c r="H52" i="2" s="1"/>
  <c r="S52" i="2" s="1"/>
  <c r="G58" i="2"/>
  <c r="H58" i="2" s="1"/>
  <c r="S58" i="2" s="1"/>
  <c r="G63" i="2"/>
  <c r="H63" i="2" s="1"/>
  <c r="S63" i="2" s="1"/>
  <c r="G10" i="2"/>
  <c r="H10" i="2" s="1"/>
  <c r="S10" i="2" s="1"/>
  <c r="G7" i="2"/>
  <c r="H7" i="2" s="1"/>
  <c r="S7" i="2" s="1"/>
  <c r="G18" i="2"/>
  <c r="H18" i="2" s="1"/>
  <c r="S18" i="2" s="1"/>
  <c r="G23" i="2"/>
  <c r="H23" i="2" s="1"/>
  <c r="S23" i="2" s="1"/>
  <c r="G28" i="2"/>
  <c r="H28" i="2" s="1"/>
  <c r="G34" i="2"/>
  <c r="H34" i="2" s="1"/>
  <c r="S34" i="2" s="1"/>
  <c r="G39" i="2"/>
  <c r="H39" i="2" s="1"/>
  <c r="S39" i="2" s="1"/>
  <c r="G44" i="2"/>
  <c r="H44" i="2" s="1"/>
  <c r="S44" i="2" s="1"/>
  <c r="G50" i="2"/>
  <c r="H50" i="2" s="1"/>
  <c r="S50" i="2" s="1"/>
  <c r="G55" i="2"/>
  <c r="H55" i="2" s="1"/>
  <c r="S55" i="2" s="1"/>
  <c r="G60" i="2"/>
  <c r="H60" i="2" s="1"/>
  <c r="S60" i="2" s="1"/>
  <c r="G66" i="2"/>
  <c r="H66" i="2" s="1"/>
  <c r="S66" i="2" s="1"/>
  <c r="G13" i="2"/>
  <c r="H13" i="2" s="1"/>
  <c r="S13" i="2" s="1"/>
  <c r="G4" i="2"/>
  <c r="H4" i="2" s="1"/>
  <c r="I65" i="2"/>
  <c r="J65" i="2" s="1"/>
  <c r="P65" i="2" s="1"/>
  <c r="I57" i="2"/>
  <c r="J57" i="2" s="1"/>
  <c r="P57" i="2" s="1"/>
  <c r="I49" i="2"/>
  <c r="J49" i="2" s="1"/>
  <c r="P49" i="2" s="1"/>
  <c r="I41" i="2"/>
  <c r="J41" i="2" s="1"/>
  <c r="P41" i="2" s="1"/>
  <c r="I33" i="2"/>
  <c r="J33" i="2" s="1"/>
  <c r="P33" i="2" s="1"/>
  <c r="I25" i="2"/>
  <c r="J25" i="2" s="1"/>
  <c r="P25" i="2" s="1"/>
  <c r="I14" i="2"/>
  <c r="J14" i="2" s="1"/>
  <c r="P14" i="2" s="1"/>
  <c r="I4" i="2"/>
  <c r="J4" i="2" s="1"/>
  <c r="P4" i="2" s="1"/>
  <c r="G9" i="2"/>
  <c r="H9" i="2" s="1"/>
  <c r="S9" i="2" s="1"/>
  <c r="G56" i="2"/>
  <c r="H56" i="2" s="1"/>
  <c r="S56" i="2" s="1"/>
  <c r="G46" i="2"/>
  <c r="H46" i="2" s="1"/>
  <c r="G35" i="2"/>
  <c r="H35" i="2" s="1"/>
  <c r="S35" i="2" s="1"/>
  <c r="G24" i="2"/>
  <c r="H24" i="2" s="1"/>
  <c r="S24" i="2" s="1"/>
  <c r="G14" i="2"/>
  <c r="H14" i="2" s="1"/>
  <c r="S14" i="2" s="1"/>
  <c r="S4" i="2" l="1"/>
  <c r="S61" i="2"/>
  <c r="S12" i="2"/>
  <c r="S51" i="2"/>
  <c r="U51" i="2" s="1"/>
  <c r="S22" i="2"/>
  <c r="S28" i="2"/>
  <c r="S6" i="2"/>
  <c r="S41" i="2"/>
  <c r="U41" i="2" s="1"/>
  <c r="S46" i="2"/>
  <c r="S42" i="2"/>
  <c r="S20" i="2"/>
  <c r="U20" i="2" s="1"/>
  <c r="S37" i="2"/>
  <c r="S43" i="2"/>
  <c r="U48" i="2"/>
  <c r="U34" i="2"/>
  <c r="U64" i="2"/>
  <c r="T9" i="2"/>
  <c r="T42" i="2"/>
  <c r="U44" i="2"/>
  <c r="U23" i="2"/>
  <c r="U53" i="2"/>
  <c r="T21" i="2"/>
  <c r="U31" i="2"/>
  <c r="T18" i="2"/>
  <c r="T58" i="2"/>
  <c r="U65" i="2"/>
  <c r="U30" i="2"/>
  <c r="U5" i="2"/>
  <c r="U32" i="2"/>
  <c r="T8" i="2"/>
  <c r="T59" i="2"/>
  <c r="U36" i="2"/>
  <c r="T33" i="2"/>
  <c r="U19" i="2"/>
  <c r="T62" i="2"/>
  <c r="U60" i="2"/>
  <c r="U39" i="2"/>
  <c r="U17" i="2"/>
  <c r="T55" i="2"/>
  <c r="T7" i="2"/>
  <c r="T28" i="2"/>
  <c r="U6" i="2"/>
  <c r="U57" i="2"/>
  <c r="T38" i="2"/>
  <c r="U61" i="2"/>
  <c r="U29" i="2"/>
  <c r="U27" i="2"/>
  <c r="U43" i="2"/>
  <c r="T10" i="2"/>
  <c r="U26" i="2"/>
  <c r="U25" i="2"/>
  <c r="U54" i="2"/>
  <c r="T11" i="2"/>
  <c r="U4" i="2"/>
  <c r="T4" i="2"/>
  <c r="U52" i="2"/>
  <c r="T52" i="2"/>
  <c r="U3" i="2"/>
  <c r="T3" i="2"/>
  <c r="U12" i="2"/>
  <c r="T12" i="2"/>
  <c r="U35" i="2"/>
  <c r="T35" i="2"/>
  <c r="U13" i="2"/>
  <c r="T13" i="2"/>
  <c r="U50" i="2"/>
  <c r="T50" i="2"/>
  <c r="T6" i="2"/>
  <c r="U40" i="2"/>
  <c r="T40" i="2"/>
  <c r="U16" i="2"/>
  <c r="T16" i="2"/>
  <c r="U24" i="2"/>
  <c r="T24" i="2"/>
  <c r="U9" i="2"/>
  <c r="T31" i="2"/>
  <c r="U45" i="2"/>
  <c r="T45" i="2"/>
  <c r="T5" i="2"/>
  <c r="U66" i="2"/>
  <c r="T66" i="2"/>
  <c r="T23" i="2"/>
  <c r="U63" i="2"/>
  <c r="T63" i="2"/>
  <c r="U42" i="2"/>
  <c r="T20" i="2"/>
  <c r="T53" i="2"/>
  <c r="T48" i="2"/>
  <c r="U22" i="2"/>
  <c r="T22" i="2"/>
  <c r="T64" i="2"/>
  <c r="T61" i="2"/>
  <c r="U56" i="2"/>
  <c r="T56" i="2"/>
  <c r="U58" i="2"/>
  <c r="U49" i="2"/>
  <c r="T49" i="2"/>
  <c r="T17" i="2"/>
  <c r="U8" i="2"/>
  <c r="T65" i="2" l="1"/>
  <c r="T44" i="2"/>
  <c r="T34" i="2"/>
  <c r="U18" i="2"/>
  <c r="T32" i="2"/>
  <c r="T39" i="2"/>
  <c r="U21" i="2"/>
  <c r="U62" i="2"/>
  <c r="T36" i="2"/>
  <c r="U33" i="2"/>
  <c r="T19" i="2"/>
  <c r="U59" i="2"/>
  <c r="U55" i="2"/>
  <c r="U11" i="2"/>
  <c r="T30" i="2"/>
  <c r="U10" i="2"/>
  <c r="T51" i="2"/>
  <c r="T60" i="2"/>
  <c r="T26" i="2"/>
  <c r="U38" i="2"/>
  <c r="U28" i="2"/>
  <c r="T41" i="2"/>
  <c r="T27" i="2"/>
  <c r="U7" i="2"/>
  <c r="T25" i="2"/>
  <c r="T57" i="2"/>
  <c r="T29" i="2"/>
  <c r="T43" i="2"/>
  <c r="T54" i="2"/>
  <c r="U14" i="2"/>
  <c r="T14" i="2"/>
  <c r="U46" i="2"/>
  <c r="T46" i="2"/>
  <c r="U15" i="2"/>
  <c r="T15" i="2"/>
  <c r="U37" i="2"/>
  <c r="T37" i="2"/>
  <c r="U47" i="2"/>
  <c r="T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Steffen Mueller</author>
  </authors>
  <commentList>
    <comment ref="T1" authorId="0" shapeId="0" xr:uid="{9F260E36-49F3-4A27-92AC-D0FB4C737C96}">
      <text>
        <r>
          <rPr>
            <b/>
            <sz val="9"/>
            <color indexed="81"/>
            <rFont val="Segoe UI"/>
            <family val="2"/>
          </rPr>
          <t>Steffen Mueller:</t>
        </r>
        <r>
          <rPr>
            <sz val="9"/>
            <color indexed="81"/>
            <rFont val="Segoe UI"/>
            <family val="2"/>
          </rPr>
          <t xml:space="preserve">
Assumption for market size</t>
        </r>
      </text>
    </comment>
    <comment ref="U1" authorId="0" shapeId="0" xr:uid="{925A2E6E-E510-4456-B1BB-16E9BFC11F47}">
      <text>
        <r>
          <rPr>
            <b/>
            <sz val="9"/>
            <color indexed="81"/>
            <rFont val="Segoe UI"/>
            <family val="2"/>
          </rPr>
          <t>Steffen Mueller:</t>
        </r>
        <r>
          <rPr>
            <sz val="9"/>
            <color indexed="81"/>
            <rFont val="Segoe UI"/>
            <family val="2"/>
          </rPr>
          <t xml:space="preserve">
Assumption for margin</t>
        </r>
      </text>
    </comment>
  </commentList>
</comments>
</file>

<file path=xl/sharedStrings.xml><?xml version="1.0" encoding="utf-8"?>
<sst xmlns="http://schemas.openxmlformats.org/spreadsheetml/2006/main" count="30" uniqueCount="19">
  <si>
    <t>Frequency</t>
  </si>
  <si>
    <t>"too cheap"</t>
  </si>
  <si>
    <t>"cheap"</t>
  </si>
  <si>
    <t>"expensive"</t>
  </si>
  <si>
    <t>"too expensive"</t>
  </si>
  <si>
    <t>Price</t>
  </si>
  <si>
    <t>"too cheap"
cumulative</t>
  </si>
  <si>
    <t>"too cheap"
(%)</t>
  </si>
  <si>
    <t>"cheap"
cumulative</t>
  </si>
  <si>
    <t>"cheap"
(%)</t>
  </si>
  <si>
    <t>"expensive"
cumulated</t>
  </si>
  <si>
    <t>"expensive"
(%)</t>
  </si>
  <si>
    <t>"too expensive"
cumulated</t>
  </si>
  <si>
    <t>"too expensive"
(%)</t>
  </si>
  <si>
    <t>"price ok"</t>
  </si>
  <si>
    <t>"not cheap"
(%)</t>
  </si>
  <si>
    <t>"not expensive"
(%)</t>
  </si>
  <si>
    <t>Revenue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</si>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</sst>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 applyFill="1" applyBorder="1"/>
    <xf numFmtId="0" fontId="3" fillId="0" borderId="0" xfId="2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/>
    <xf numFmtId="0" fontId="4" fillId="3" borderId="0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1" fontId="5" fillId="2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9" fontId="5" fillId="0" borderId="0" xfId="1" applyFont="1" applyFill="1" applyAlignment="1">
      <alignment horizontal="center"/>
    </xf>
    <xf numFmtId="9" fontId="5" fillId="0" borderId="0" xfId="1" applyFont="1" applyAlignment="1">
      <alignment horizontal="center"/>
    </xf>
    <xf numFmtId="10" fontId="5" fillId="0" borderId="0" xfId="0" applyNumberFormat="1" applyFont="1"/>
    <xf numFmtId="0" fontId="4" fillId="0" borderId="0" xfId="2" applyFont="1" applyFill="1" applyBorder="1"/>
    <xf numFmtId="0" fontId="4" fillId="4" borderId="0" xfId="2" applyFont="1" applyFill="1" applyBorder="1" applyAlignment="1">
      <alignment wrapText="1"/>
    </xf>
    <xf numFmtId="0" fontId="4" fillId="4" borderId="0" xfId="2" applyFont="1" applyFill="1" applyBorder="1" applyAlignment="1">
      <alignment horizontal="center" wrapText="1"/>
    </xf>
    <xf numFmtId="0" fontId="4" fillId="4" borderId="0" xfId="2" applyFont="1" applyFill="1" applyBorder="1" applyAlignment="1">
      <alignment horizontal="left" wrapText="1"/>
    </xf>
    <xf numFmtId="0" fontId="4" fillId="0" borderId="0" xfId="2" applyNumberFormat="1" applyFont="1" applyFill="1" applyBorder="1" applyAlignment="1">
      <alignment horizontal="left" vertical="top"/>
    </xf>
    <xf numFmtId="164" fontId="4" fillId="0" borderId="0" xfId="2" applyNumberFormat="1" applyFont="1" applyFill="1" applyBorder="1" applyAlignment="1">
      <alignment horizontal="right" vertical="top"/>
    </xf>
    <xf numFmtId="0" fontId="4" fillId="0" borderId="0" xfId="0" applyFont="1" applyFill="1" applyBorder="1"/>
    <xf numFmtId="0" fontId="4" fillId="0" borderId="0" xfId="2" applyFont="1" applyFill="1" applyBorder="1" applyAlignment="1">
      <alignment horizontal="left" vertical="top" wrapText="1"/>
    </xf>
    <xf numFmtId="0" fontId="4" fillId="0" borderId="0" xfId="2" applyFont="1" applyFill="1" applyBorder="1" applyAlignment="1">
      <alignment horizontal="left" vertical="top"/>
    </xf>
    <xf numFmtId="0" fontId="4" fillId="0" borderId="0" xfId="2" applyFont="1" applyFill="1" applyBorder="1" applyAlignment="1">
      <alignment vertical="top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Fill="1" applyAlignment="1">
      <alignment horizontal="right"/>
    </xf>
    <xf numFmtId="1" fontId="5" fillId="0" borderId="0" xfId="0" applyNumberFormat="1" applyFont="1" applyAlignment="1">
      <alignment horizontal="right"/>
    </xf>
    <xf numFmtId="9" fontId="5" fillId="0" borderId="0" xfId="1" applyFont="1" applyFill="1" applyAlignment="1">
      <alignment horizontal="right"/>
    </xf>
    <xf numFmtId="9" fontId="5" fillId="0" borderId="0" xfId="1" applyFont="1" applyAlignment="1">
      <alignment horizontal="right"/>
    </xf>
    <xf numFmtId="1" fontId="5" fillId="0" borderId="0" xfId="1" applyNumberFormat="1" applyFont="1" applyAlignment="1">
      <alignment horizontal="right"/>
    </xf>
    <xf numFmtId="0" fontId="5" fillId="0" borderId="0" xfId="0" applyFont="1" applyAlignment="1">
      <alignment horizontal="center" vertical="top"/>
    </xf>
    <xf numFmtId="3" fontId="5" fillId="0" borderId="0" xfId="0" applyNumberFormat="1" applyFont="1" applyFill="1"/>
    <xf numFmtId="0" fontId="4" fillId="2" borderId="0" xfId="2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/>
    </xf>
  </cellXfs>
  <cellStyles count="3">
    <cellStyle name="Prozent" xfId="1" builtinId="5"/>
    <cellStyle name="Standard" xfId="0" builtinId="0"/>
    <cellStyle name="Standard_Tabelle1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'2-Data'!$H$2</c:f>
              <c:strCache>
                <c:ptCount val="1"/>
                <c:pt idx="0">
                  <c:v>"too cheap"
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'2-Data'!$H$3:$H$66</c:f>
              <c:numCache>
                <c:formatCode>0%</c:formatCode>
                <c:ptCount val="64"/>
                <c:pt idx="0">
                  <c:v>1</c:v>
                </c:pt>
                <c:pt idx="1">
                  <c:v>0.99082568807339455</c:v>
                </c:pt>
                <c:pt idx="2">
                  <c:v>0.92660550458715596</c:v>
                </c:pt>
                <c:pt idx="3">
                  <c:v>0.92660550458715596</c:v>
                </c:pt>
                <c:pt idx="4">
                  <c:v>0.92660550458715596</c:v>
                </c:pt>
                <c:pt idx="5">
                  <c:v>0.91743119266055051</c:v>
                </c:pt>
                <c:pt idx="6">
                  <c:v>0.90825688073394495</c:v>
                </c:pt>
                <c:pt idx="7">
                  <c:v>0.8990825688073395</c:v>
                </c:pt>
                <c:pt idx="8">
                  <c:v>0.88990825688073394</c:v>
                </c:pt>
                <c:pt idx="9">
                  <c:v>0.83486238532110091</c:v>
                </c:pt>
                <c:pt idx="10">
                  <c:v>0.66972477064220182</c:v>
                </c:pt>
                <c:pt idx="11">
                  <c:v>0.66972477064220182</c:v>
                </c:pt>
                <c:pt idx="12">
                  <c:v>0.66055045871559637</c:v>
                </c:pt>
                <c:pt idx="13">
                  <c:v>0.66055045871559637</c:v>
                </c:pt>
                <c:pt idx="14">
                  <c:v>0.62385321100917435</c:v>
                </c:pt>
                <c:pt idx="15">
                  <c:v>0.52293577981651373</c:v>
                </c:pt>
                <c:pt idx="16">
                  <c:v>0.52293577981651373</c:v>
                </c:pt>
                <c:pt idx="17">
                  <c:v>0.52293577981651373</c:v>
                </c:pt>
                <c:pt idx="18">
                  <c:v>0.52293577981651373</c:v>
                </c:pt>
                <c:pt idx="19">
                  <c:v>0.52293577981651373</c:v>
                </c:pt>
                <c:pt idx="20">
                  <c:v>0.51376146788990829</c:v>
                </c:pt>
                <c:pt idx="21">
                  <c:v>0.50458715596330272</c:v>
                </c:pt>
                <c:pt idx="22">
                  <c:v>0.50458715596330272</c:v>
                </c:pt>
                <c:pt idx="23">
                  <c:v>0.3669724770642202</c:v>
                </c:pt>
                <c:pt idx="24">
                  <c:v>0.22018348623853212</c:v>
                </c:pt>
                <c:pt idx="25">
                  <c:v>0.22018348623853212</c:v>
                </c:pt>
                <c:pt idx="26">
                  <c:v>0.21100917431192662</c:v>
                </c:pt>
                <c:pt idx="27">
                  <c:v>0.21100917431192662</c:v>
                </c:pt>
                <c:pt idx="28">
                  <c:v>0.21100917431192662</c:v>
                </c:pt>
                <c:pt idx="29">
                  <c:v>0.19266055045871561</c:v>
                </c:pt>
                <c:pt idx="30">
                  <c:v>0.14678899082568808</c:v>
                </c:pt>
                <c:pt idx="31">
                  <c:v>0.14678899082568808</c:v>
                </c:pt>
                <c:pt idx="32">
                  <c:v>0.14678899082568808</c:v>
                </c:pt>
                <c:pt idx="33">
                  <c:v>0.13761467889908258</c:v>
                </c:pt>
                <c:pt idx="34">
                  <c:v>0.13761467889908258</c:v>
                </c:pt>
                <c:pt idx="35">
                  <c:v>0.13761467889908258</c:v>
                </c:pt>
                <c:pt idx="36">
                  <c:v>0.12844036697247707</c:v>
                </c:pt>
                <c:pt idx="37">
                  <c:v>6.4220183486238536E-2</c:v>
                </c:pt>
                <c:pt idx="38">
                  <c:v>1.834862385321101E-2</c:v>
                </c:pt>
                <c:pt idx="39">
                  <c:v>1.834862385321101E-2</c:v>
                </c:pt>
                <c:pt idx="40">
                  <c:v>1.834862385321101E-2</c:v>
                </c:pt>
                <c:pt idx="41">
                  <c:v>1.834862385321101E-2</c:v>
                </c:pt>
                <c:pt idx="42">
                  <c:v>1.834862385321101E-2</c:v>
                </c:pt>
                <c:pt idx="43">
                  <c:v>9.1743119266055051E-3</c:v>
                </c:pt>
                <c:pt idx="44">
                  <c:v>9.1743119266055051E-3</c:v>
                </c:pt>
                <c:pt idx="45">
                  <c:v>9.1743119266055051E-3</c:v>
                </c:pt>
                <c:pt idx="46">
                  <c:v>9.1743119266055051E-3</c:v>
                </c:pt>
                <c:pt idx="47">
                  <c:v>9.1743119266055051E-3</c:v>
                </c:pt>
                <c:pt idx="48">
                  <c:v>9.1743119266055051E-3</c:v>
                </c:pt>
                <c:pt idx="49">
                  <c:v>9.1743119266055051E-3</c:v>
                </c:pt>
                <c:pt idx="50">
                  <c:v>9.1743119266055051E-3</c:v>
                </c:pt>
                <c:pt idx="51">
                  <c:v>9.1743119266055051E-3</c:v>
                </c:pt>
                <c:pt idx="52">
                  <c:v>9.1743119266055051E-3</c:v>
                </c:pt>
                <c:pt idx="53">
                  <c:v>9.1743119266055051E-3</c:v>
                </c:pt>
                <c:pt idx="54">
                  <c:v>9.1743119266055051E-3</c:v>
                </c:pt>
                <c:pt idx="55">
                  <c:v>9.1743119266055051E-3</c:v>
                </c:pt>
                <c:pt idx="56">
                  <c:v>9.1743119266055051E-3</c:v>
                </c:pt>
                <c:pt idx="57">
                  <c:v>9.1743119266055051E-3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A-46EE-A15B-A9BEB61DC9E6}"/>
            </c:ext>
          </c:extLst>
        </c:ser>
        <c:ser>
          <c:idx val="1"/>
          <c:order val="1"/>
          <c:tx>
            <c:strRef>
              <c:f>'2-Data'!$N$2</c:f>
              <c:strCache>
                <c:ptCount val="1"/>
                <c:pt idx="0">
                  <c:v>"too expensive"
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'2-Data'!$N$3:$N$66</c:f>
              <c:numCache>
                <c:formatCode>0%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9.1743119266055051E-3</c:v>
                </c:pt>
                <c:pt idx="4">
                  <c:v>9.1743119266055051E-3</c:v>
                </c:pt>
                <c:pt idx="5">
                  <c:v>9.1743119266055051E-3</c:v>
                </c:pt>
                <c:pt idx="6">
                  <c:v>9.1743119266055051E-3</c:v>
                </c:pt>
                <c:pt idx="7">
                  <c:v>9.1743119266055051E-3</c:v>
                </c:pt>
                <c:pt idx="8">
                  <c:v>9.1743119266055051E-3</c:v>
                </c:pt>
                <c:pt idx="9">
                  <c:v>1.834862385321101E-2</c:v>
                </c:pt>
                <c:pt idx="10">
                  <c:v>1.834862385321101E-2</c:v>
                </c:pt>
                <c:pt idx="11">
                  <c:v>1.834862385321101E-2</c:v>
                </c:pt>
                <c:pt idx="12">
                  <c:v>1.834862385321101E-2</c:v>
                </c:pt>
                <c:pt idx="13">
                  <c:v>1.834862385321101E-2</c:v>
                </c:pt>
                <c:pt idx="14">
                  <c:v>1.834862385321101E-2</c:v>
                </c:pt>
                <c:pt idx="15">
                  <c:v>1.834862385321101E-2</c:v>
                </c:pt>
                <c:pt idx="16">
                  <c:v>1.834862385321101E-2</c:v>
                </c:pt>
                <c:pt idx="17">
                  <c:v>1.834862385321101E-2</c:v>
                </c:pt>
                <c:pt idx="18">
                  <c:v>1.834862385321101E-2</c:v>
                </c:pt>
                <c:pt idx="19">
                  <c:v>1.834862385321101E-2</c:v>
                </c:pt>
                <c:pt idx="20">
                  <c:v>1.834862385321101E-2</c:v>
                </c:pt>
                <c:pt idx="21">
                  <c:v>1.834862385321101E-2</c:v>
                </c:pt>
                <c:pt idx="22">
                  <c:v>1.834862385321101E-2</c:v>
                </c:pt>
                <c:pt idx="23">
                  <c:v>2.7522935779816515E-2</c:v>
                </c:pt>
                <c:pt idx="24">
                  <c:v>2.7522935779816515E-2</c:v>
                </c:pt>
                <c:pt idx="25">
                  <c:v>2.7522935779816515E-2</c:v>
                </c:pt>
                <c:pt idx="26">
                  <c:v>3.669724770642202E-2</c:v>
                </c:pt>
                <c:pt idx="27">
                  <c:v>3.669724770642202E-2</c:v>
                </c:pt>
                <c:pt idx="28">
                  <c:v>4.5871559633027525E-2</c:v>
                </c:pt>
                <c:pt idx="29">
                  <c:v>5.5045871559633031E-2</c:v>
                </c:pt>
                <c:pt idx="30">
                  <c:v>5.5045871559633031E-2</c:v>
                </c:pt>
                <c:pt idx="31">
                  <c:v>6.4220183486238536E-2</c:v>
                </c:pt>
                <c:pt idx="32">
                  <c:v>6.4220183486238536E-2</c:v>
                </c:pt>
                <c:pt idx="33">
                  <c:v>7.3394495412844041E-2</c:v>
                </c:pt>
                <c:pt idx="34">
                  <c:v>7.3394495412844041E-2</c:v>
                </c:pt>
                <c:pt idx="35">
                  <c:v>7.3394495412844041E-2</c:v>
                </c:pt>
                <c:pt idx="36">
                  <c:v>0.11009174311926606</c:v>
                </c:pt>
                <c:pt idx="37">
                  <c:v>0.1834862385321101</c:v>
                </c:pt>
                <c:pt idx="38">
                  <c:v>0.19266055045871561</c:v>
                </c:pt>
                <c:pt idx="39">
                  <c:v>0.19266055045871561</c:v>
                </c:pt>
                <c:pt idx="40">
                  <c:v>0.20183486238532111</c:v>
                </c:pt>
                <c:pt idx="41">
                  <c:v>0.21100917431192662</c:v>
                </c:pt>
                <c:pt idx="42">
                  <c:v>0.22018348623853212</c:v>
                </c:pt>
                <c:pt idx="43">
                  <c:v>0.28440366972477066</c:v>
                </c:pt>
                <c:pt idx="44">
                  <c:v>0.30275229357798167</c:v>
                </c:pt>
                <c:pt idx="45">
                  <c:v>0.30275229357798167</c:v>
                </c:pt>
                <c:pt idx="46">
                  <c:v>0.30275229357798167</c:v>
                </c:pt>
                <c:pt idx="47">
                  <c:v>0.31192660550458717</c:v>
                </c:pt>
                <c:pt idx="48">
                  <c:v>0.34862385321100919</c:v>
                </c:pt>
                <c:pt idx="49">
                  <c:v>0.51376146788990829</c:v>
                </c:pt>
                <c:pt idx="50">
                  <c:v>0.52293577981651373</c:v>
                </c:pt>
                <c:pt idx="51">
                  <c:v>0.54128440366972475</c:v>
                </c:pt>
                <c:pt idx="52">
                  <c:v>0.55963302752293576</c:v>
                </c:pt>
                <c:pt idx="53">
                  <c:v>0.6330275229357798</c:v>
                </c:pt>
                <c:pt idx="54">
                  <c:v>0.64220183486238536</c:v>
                </c:pt>
                <c:pt idx="55">
                  <c:v>0.64220183486238536</c:v>
                </c:pt>
                <c:pt idx="56">
                  <c:v>0.72477064220183485</c:v>
                </c:pt>
                <c:pt idx="57">
                  <c:v>0.90825688073394495</c:v>
                </c:pt>
                <c:pt idx="58">
                  <c:v>0.93577981651376152</c:v>
                </c:pt>
                <c:pt idx="59">
                  <c:v>0.94495412844036697</c:v>
                </c:pt>
                <c:pt idx="60">
                  <c:v>0.95412844036697253</c:v>
                </c:pt>
                <c:pt idx="61">
                  <c:v>0.98165137614678899</c:v>
                </c:pt>
                <c:pt idx="62">
                  <c:v>0.99082568807339455</c:v>
                </c:pt>
                <c:pt idx="6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A-46EE-A15B-A9BEB61DC9E6}"/>
            </c:ext>
          </c:extLst>
        </c:ser>
        <c:ser>
          <c:idx val="2"/>
          <c:order val="2"/>
          <c:tx>
            <c:strRef>
              <c:f>'2-Data'!$P$2</c:f>
              <c:strCache>
                <c:ptCount val="1"/>
                <c:pt idx="0">
                  <c:v>"not cheap"
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'2-Data'!$P$3:$P$66</c:f>
              <c:numCache>
                <c:formatCode>0%</c:formatCode>
                <c:ptCount val="64"/>
                <c:pt idx="0">
                  <c:v>0</c:v>
                </c:pt>
                <c:pt idx="1">
                  <c:v>9.0909090909090384E-3</c:v>
                </c:pt>
                <c:pt idx="2">
                  <c:v>9.0909090909090384E-3</c:v>
                </c:pt>
                <c:pt idx="3">
                  <c:v>9.0909090909090384E-3</c:v>
                </c:pt>
                <c:pt idx="4">
                  <c:v>9.0909090909090384E-3</c:v>
                </c:pt>
                <c:pt idx="5">
                  <c:v>9.0909090909090384E-3</c:v>
                </c:pt>
                <c:pt idx="6">
                  <c:v>9.0909090909090384E-3</c:v>
                </c:pt>
                <c:pt idx="7">
                  <c:v>9.0909090909090384E-3</c:v>
                </c:pt>
                <c:pt idx="8">
                  <c:v>9.0909090909090384E-3</c:v>
                </c:pt>
                <c:pt idx="9">
                  <c:v>1.8181818181818188E-2</c:v>
                </c:pt>
                <c:pt idx="10">
                  <c:v>3.6363636363636376E-2</c:v>
                </c:pt>
                <c:pt idx="11">
                  <c:v>3.6363636363636376E-2</c:v>
                </c:pt>
                <c:pt idx="12">
                  <c:v>4.5454545454545414E-2</c:v>
                </c:pt>
                <c:pt idx="13">
                  <c:v>5.4545454545454564E-2</c:v>
                </c:pt>
                <c:pt idx="14">
                  <c:v>9.0909090909090939E-2</c:v>
                </c:pt>
                <c:pt idx="15">
                  <c:v>9.9999999999999978E-2</c:v>
                </c:pt>
                <c:pt idx="16">
                  <c:v>0.10909090909090913</c:v>
                </c:pt>
                <c:pt idx="17">
                  <c:v>0.11818181818181817</c:v>
                </c:pt>
                <c:pt idx="18">
                  <c:v>0.12727272727272732</c:v>
                </c:pt>
                <c:pt idx="19">
                  <c:v>0.12727272727272732</c:v>
                </c:pt>
                <c:pt idx="20">
                  <c:v>0.12727272727272732</c:v>
                </c:pt>
                <c:pt idx="21">
                  <c:v>0.12727272727272732</c:v>
                </c:pt>
                <c:pt idx="22">
                  <c:v>0.16363636363636369</c:v>
                </c:pt>
                <c:pt idx="23">
                  <c:v>0.29090909090909089</c:v>
                </c:pt>
                <c:pt idx="24">
                  <c:v>0.30000000000000004</c:v>
                </c:pt>
                <c:pt idx="25">
                  <c:v>0.30000000000000004</c:v>
                </c:pt>
                <c:pt idx="26">
                  <c:v>0.30000000000000004</c:v>
                </c:pt>
                <c:pt idx="27">
                  <c:v>0.30909090909090908</c:v>
                </c:pt>
                <c:pt idx="28">
                  <c:v>0.36363636363636365</c:v>
                </c:pt>
                <c:pt idx="29">
                  <c:v>0.50909090909090904</c:v>
                </c:pt>
                <c:pt idx="30">
                  <c:v>0.50909090909090904</c:v>
                </c:pt>
                <c:pt idx="31">
                  <c:v>0.50909090909090904</c:v>
                </c:pt>
                <c:pt idx="32">
                  <c:v>0.50909090909090904</c:v>
                </c:pt>
                <c:pt idx="33">
                  <c:v>0.51818181818181819</c:v>
                </c:pt>
                <c:pt idx="34">
                  <c:v>0.52727272727272734</c:v>
                </c:pt>
                <c:pt idx="35">
                  <c:v>0.54545454545454541</c:v>
                </c:pt>
                <c:pt idx="36">
                  <c:v>0.66363636363636358</c:v>
                </c:pt>
                <c:pt idx="37">
                  <c:v>0.80909090909090908</c:v>
                </c:pt>
                <c:pt idx="38">
                  <c:v>0.80909090909090908</c:v>
                </c:pt>
                <c:pt idx="39">
                  <c:v>0.81818181818181812</c:v>
                </c:pt>
                <c:pt idx="40">
                  <c:v>0.81818181818181812</c:v>
                </c:pt>
                <c:pt idx="41">
                  <c:v>0.81818181818181812</c:v>
                </c:pt>
                <c:pt idx="42">
                  <c:v>0.84545454545454546</c:v>
                </c:pt>
                <c:pt idx="43">
                  <c:v>0.91818181818181821</c:v>
                </c:pt>
                <c:pt idx="44">
                  <c:v>0.92727272727272725</c:v>
                </c:pt>
                <c:pt idx="45">
                  <c:v>0.9363636363636364</c:v>
                </c:pt>
                <c:pt idx="46">
                  <c:v>0.94545454545454544</c:v>
                </c:pt>
                <c:pt idx="47">
                  <c:v>0.94545454545454544</c:v>
                </c:pt>
                <c:pt idx="48">
                  <c:v>0.97272727272727277</c:v>
                </c:pt>
                <c:pt idx="49">
                  <c:v>0.99090909090909096</c:v>
                </c:pt>
                <c:pt idx="50">
                  <c:v>0.99090909090909096</c:v>
                </c:pt>
                <c:pt idx="51">
                  <c:v>0.99090909090909096</c:v>
                </c:pt>
                <c:pt idx="52">
                  <c:v>0.99090909090909096</c:v>
                </c:pt>
                <c:pt idx="53">
                  <c:v>0.99090909090909096</c:v>
                </c:pt>
                <c:pt idx="54">
                  <c:v>0.99090909090909096</c:v>
                </c:pt>
                <c:pt idx="55">
                  <c:v>0.99090909090909096</c:v>
                </c:pt>
                <c:pt idx="56">
                  <c:v>0.99090909090909096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AA-46EE-A15B-A9BEB61DC9E6}"/>
            </c:ext>
          </c:extLst>
        </c:ser>
        <c:ser>
          <c:idx val="3"/>
          <c:order val="3"/>
          <c:tx>
            <c:strRef>
              <c:f>'2-Data'!$Q$2</c:f>
              <c:strCache>
                <c:ptCount val="1"/>
                <c:pt idx="0">
                  <c:v>"not expensive"
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'2-Data'!$Q$3:$Q$66</c:f>
              <c:numCache>
                <c:formatCode>0%</c:formatCode>
                <c:ptCount val="64"/>
                <c:pt idx="0">
                  <c:v>1</c:v>
                </c:pt>
                <c:pt idx="1">
                  <c:v>1</c:v>
                </c:pt>
                <c:pt idx="2">
                  <c:v>0.9910714285714286</c:v>
                </c:pt>
                <c:pt idx="3">
                  <c:v>0.9910714285714286</c:v>
                </c:pt>
                <c:pt idx="4">
                  <c:v>0.9910714285714286</c:v>
                </c:pt>
                <c:pt idx="5">
                  <c:v>0.9910714285714286</c:v>
                </c:pt>
                <c:pt idx="6">
                  <c:v>0.9910714285714286</c:v>
                </c:pt>
                <c:pt idx="7">
                  <c:v>0.9910714285714286</c:v>
                </c:pt>
                <c:pt idx="8">
                  <c:v>0.9910714285714286</c:v>
                </c:pt>
                <c:pt idx="9">
                  <c:v>0.9910714285714286</c:v>
                </c:pt>
                <c:pt idx="10">
                  <c:v>0.9910714285714286</c:v>
                </c:pt>
                <c:pt idx="11">
                  <c:v>0.9910714285714286</c:v>
                </c:pt>
                <c:pt idx="12">
                  <c:v>0.9910714285714286</c:v>
                </c:pt>
                <c:pt idx="13">
                  <c:v>0.9910714285714286</c:v>
                </c:pt>
                <c:pt idx="14">
                  <c:v>0.9732142857142857</c:v>
                </c:pt>
                <c:pt idx="15">
                  <c:v>0.9732142857142857</c:v>
                </c:pt>
                <c:pt idx="16">
                  <c:v>0.9732142857142857</c:v>
                </c:pt>
                <c:pt idx="17">
                  <c:v>0.9732142857142857</c:v>
                </c:pt>
                <c:pt idx="18">
                  <c:v>0.9732142857142857</c:v>
                </c:pt>
                <c:pt idx="19">
                  <c:v>0.9732142857142857</c:v>
                </c:pt>
                <c:pt idx="20">
                  <c:v>0.9732142857142857</c:v>
                </c:pt>
                <c:pt idx="21">
                  <c:v>0.9642857142857143</c:v>
                </c:pt>
                <c:pt idx="22">
                  <c:v>0.9464285714285714</c:v>
                </c:pt>
                <c:pt idx="23">
                  <c:v>0.9285714285714286</c:v>
                </c:pt>
                <c:pt idx="24">
                  <c:v>0.9285714285714286</c:v>
                </c:pt>
                <c:pt idx="25">
                  <c:v>0.9285714285714286</c:v>
                </c:pt>
                <c:pt idx="26">
                  <c:v>0.9285714285714286</c:v>
                </c:pt>
                <c:pt idx="27">
                  <c:v>0.9196428571428571</c:v>
                </c:pt>
                <c:pt idx="28">
                  <c:v>0.8928571428571429</c:v>
                </c:pt>
                <c:pt idx="29">
                  <c:v>0.83035714285714279</c:v>
                </c:pt>
                <c:pt idx="30">
                  <c:v>0.8125</c:v>
                </c:pt>
                <c:pt idx="31">
                  <c:v>0.8125</c:v>
                </c:pt>
                <c:pt idx="32">
                  <c:v>0.8125</c:v>
                </c:pt>
                <c:pt idx="33">
                  <c:v>0.8125</c:v>
                </c:pt>
                <c:pt idx="34">
                  <c:v>0.8125</c:v>
                </c:pt>
                <c:pt idx="35">
                  <c:v>0.8125</c:v>
                </c:pt>
                <c:pt idx="36">
                  <c:v>0.7142857142857143</c:v>
                </c:pt>
                <c:pt idx="37">
                  <c:v>0.60714285714285721</c:v>
                </c:pt>
                <c:pt idx="38">
                  <c:v>0.60714285714285721</c:v>
                </c:pt>
                <c:pt idx="39">
                  <c:v>0.5892857142857143</c:v>
                </c:pt>
                <c:pt idx="40">
                  <c:v>0.5892857142857143</c:v>
                </c:pt>
                <c:pt idx="41">
                  <c:v>0.58035714285714279</c:v>
                </c:pt>
                <c:pt idx="42">
                  <c:v>0.51785714285714279</c:v>
                </c:pt>
                <c:pt idx="43">
                  <c:v>0.3392857142857143</c:v>
                </c:pt>
                <c:pt idx="44">
                  <c:v>0.3392857142857143</c:v>
                </c:pt>
                <c:pt idx="45">
                  <c:v>0.3392857142857143</c:v>
                </c:pt>
                <c:pt idx="46">
                  <c:v>0.3125</c:v>
                </c:pt>
                <c:pt idx="47">
                  <c:v>0.3035714285714286</c:v>
                </c:pt>
                <c:pt idx="48">
                  <c:v>0.2321428571428571</c:v>
                </c:pt>
                <c:pt idx="49">
                  <c:v>8.0357142857142905E-2</c:v>
                </c:pt>
                <c:pt idx="50">
                  <c:v>8.0357142857142905E-2</c:v>
                </c:pt>
                <c:pt idx="51">
                  <c:v>8.0357142857142905E-2</c:v>
                </c:pt>
                <c:pt idx="52">
                  <c:v>6.25E-2</c:v>
                </c:pt>
                <c:pt idx="53">
                  <c:v>6.25E-2</c:v>
                </c:pt>
                <c:pt idx="54">
                  <c:v>6.25E-2</c:v>
                </c:pt>
                <c:pt idx="55">
                  <c:v>5.3571428571428603E-2</c:v>
                </c:pt>
                <c:pt idx="56">
                  <c:v>4.4642857142857095E-2</c:v>
                </c:pt>
                <c:pt idx="57">
                  <c:v>1.7857142857142905E-2</c:v>
                </c:pt>
                <c:pt idx="58">
                  <c:v>1.7857142857142905E-2</c:v>
                </c:pt>
                <c:pt idx="59">
                  <c:v>1.7857142857142905E-2</c:v>
                </c:pt>
                <c:pt idx="60">
                  <c:v>8.9285714285713969E-3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AA-46EE-A15B-A9BEB61DC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979856"/>
        <c:axId val="773980184"/>
      </c:scatterChart>
      <c:valAx>
        <c:axId val="773979856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 in 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3980184"/>
        <c:crosses val="autoZero"/>
        <c:crossBetween val="midCat"/>
      </c:valAx>
      <c:valAx>
        <c:axId val="773980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397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'2-Data'!$S$2</c:f>
              <c:strCache>
                <c:ptCount val="1"/>
                <c:pt idx="0">
                  <c:v>"price ok"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'2-Data'!$S$3:$S$66</c:f>
              <c:numCache>
                <c:formatCode>0.00%</c:formatCode>
                <c:ptCount val="64"/>
                <c:pt idx="0">
                  <c:v>0</c:v>
                </c:pt>
                <c:pt idx="1">
                  <c:v>9.1743119266054496E-3</c:v>
                </c:pt>
                <c:pt idx="2">
                  <c:v>7.3394495412844041E-2</c:v>
                </c:pt>
                <c:pt idx="3">
                  <c:v>6.4220183486238536E-2</c:v>
                </c:pt>
                <c:pt idx="4">
                  <c:v>6.4220183486238536E-2</c:v>
                </c:pt>
                <c:pt idx="5">
                  <c:v>7.3394495412843985E-2</c:v>
                </c:pt>
                <c:pt idx="6">
                  <c:v>8.2568807339449546E-2</c:v>
                </c:pt>
                <c:pt idx="7">
                  <c:v>9.1743119266054995E-2</c:v>
                </c:pt>
                <c:pt idx="8">
                  <c:v>0.10091743119266056</c:v>
                </c:pt>
                <c:pt idx="9">
                  <c:v>0.14678899082568808</c:v>
                </c:pt>
                <c:pt idx="10">
                  <c:v>0.31192660550458717</c:v>
                </c:pt>
                <c:pt idx="11">
                  <c:v>0.31192660550458717</c:v>
                </c:pt>
                <c:pt idx="12">
                  <c:v>0.32110091743119262</c:v>
                </c:pt>
                <c:pt idx="13">
                  <c:v>0.32110091743119262</c:v>
                </c:pt>
                <c:pt idx="14">
                  <c:v>0.35779816513761464</c:v>
                </c:pt>
                <c:pt idx="15">
                  <c:v>0.45871559633027525</c:v>
                </c:pt>
                <c:pt idx="16">
                  <c:v>0.45871559633027525</c:v>
                </c:pt>
                <c:pt idx="17">
                  <c:v>0.45871559633027525</c:v>
                </c:pt>
                <c:pt idx="18">
                  <c:v>0.45871559633027525</c:v>
                </c:pt>
                <c:pt idx="19">
                  <c:v>0.45871559633027525</c:v>
                </c:pt>
                <c:pt idx="20">
                  <c:v>0.4678899082568807</c:v>
                </c:pt>
                <c:pt idx="21">
                  <c:v>0.47706422018348627</c:v>
                </c:pt>
                <c:pt idx="22">
                  <c:v>0.47706422018348627</c:v>
                </c:pt>
                <c:pt idx="23">
                  <c:v>0.60550458715596323</c:v>
                </c:pt>
                <c:pt idx="24">
                  <c:v>0.75229357798165131</c:v>
                </c:pt>
                <c:pt idx="25">
                  <c:v>0.75229357798165131</c:v>
                </c:pt>
                <c:pt idx="26">
                  <c:v>0.75229357798165131</c:v>
                </c:pt>
                <c:pt idx="27">
                  <c:v>0.75229357798165131</c:v>
                </c:pt>
                <c:pt idx="28">
                  <c:v>0.74311926605504586</c:v>
                </c:pt>
                <c:pt idx="29">
                  <c:v>0.75229357798165142</c:v>
                </c:pt>
                <c:pt idx="30">
                  <c:v>0.79816513761467889</c:v>
                </c:pt>
                <c:pt idx="31">
                  <c:v>0.78899082568807333</c:v>
                </c:pt>
                <c:pt idx="32">
                  <c:v>0.78899082568807333</c:v>
                </c:pt>
                <c:pt idx="33">
                  <c:v>0.78899082568807333</c:v>
                </c:pt>
                <c:pt idx="34">
                  <c:v>0.78899082568807333</c:v>
                </c:pt>
                <c:pt idx="35">
                  <c:v>0.78899082568807333</c:v>
                </c:pt>
                <c:pt idx="36">
                  <c:v>0.76146788990825687</c:v>
                </c:pt>
                <c:pt idx="37">
                  <c:v>0.75229357798165131</c:v>
                </c:pt>
                <c:pt idx="38">
                  <c:v>0.78899082568807333</c:v>
                </c:pt>
                <c:pt idx="39">
                  <c:v>0.78899082568807333</c:v>
                </c:pt>
                <c:pt idx="40">
                  <c:v>0.77981651376146788</c:v>
                </c:pt>
                <c:pt idx="41">
                  <c:v>0.77064220183486243</c:v>
                </c:pt>
                <c:pt idx="42">
                  <c:v>0.76146788990825687</c:v>
                </c:pt>
                <c:pt idx="43">
                  <c:v>0.70642201834862384</c:v>
                </c:pt>
                <c:pt idx="44">
                  <c:v>0.68807339449541294</c:v>
                </c:pt>
                <c:pt idx="45">
                  <c:v>0.68807339449541294</c:v>
                </c:pt>
                <c:pt idx="46">
                  <c:v>0.68807339449541294</c:v>
                </c:pt>
                <c:pt idx="47">
                  <c:v>0.67889908256880738</c:v>
                </c:pt>
                <c:pt idx="48">
                  <c:v>0.64220183486238536</c:v>
                </c:pt>
                <c:pt idx="49">
                  <c:v>0.47706422018348627</c:v>
                </c:pt>
                <c:pt idx="50">
                  <c:v>0.46788990825688082</c:v>
                </c:pt>
                <c:pt idx="51">
                  <c:v>0.44954128440366981</c:v>
                </c:pt>
                <c:pt idx="52">
                  <c:v>0.4311926605504588</c:v>
                </c:pt>
                <c:pt idx="53">
                  <c:v>0.35779816513761475</c:v>
                </c:pt>
                <c:pt idx="54">
                  <c:v>0.34862385321100919</c:v>
                </c:pt>
                <c:pt idx="55">
                  <c:v>0.34862385321100919</c:v>
                </c:pt>
                <c:pt idx="56">
                  <c:v>0.2660550458715597</c:v>
                </c:pt>
                <c:pt idx="57">
                  <c:v>8.2568807339449601E-2</c:v>
                </c:pt>
                <c:pt idx="58">
                  <c:v>6.422018348623848E-2</c:v>
                </c:pt>
                <c:pt idx="59">
                  <c:v>5.5045871559633031E-2</c:v>
                </c:pt>
                <c:pt idx="60">
                  <c:v>4.587155963302747E-2</c:v>
                </c:pt>
                <c:pt idx="61">
                  <c:v>1.834862385321101E-2</c:v>
                </c:pt>
                <c:pt idx="62">
                  <c:v>9.1743119266054496E-3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7-4306-9973-D8C0F723D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217656"/>
        <c:axId val="740216672"/>
      </c:scatterChart>
      <c:valAx>
        <c:axId val="740217656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 in 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0216672"/>
        <c:crosses val="autoZero"/>
        <c:crossBetween val="midCat"/>
      </c:valAx>
      <c:valAx>
        <c:axId val="740216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0217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'2-Data'!$T$2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'2-Data'!$T$3:$T$66</c:f>
              <c:numCache>
                <c:formatCode>#,##0</c:formatCode>
                <c:ptCount val="64"/>
                <c:pt idx="0">
                  <c:v>0</c:v>
                </c:pt>
                <c:pt idx="1">
                  <c:v>45871.559633027246</c:v>
                </c:pt>
                <c:pt idx="2">
                  <c:v>403669.72477064223</c:v>
                </c:pt>
                <c:pt idx="3">
                  <c:v>359633.02752293582</c:v>
                </c:pt>
                <c:pt idx="4">
                  <c:v>417431.19266055047</c:v>
                </c:pt>
                <c:pt idx="5">
                  <c:v>572477.06422018306</c:v>
                </c:pt>
                <c:pt idx="6">
                  <c:v>660550.45871559635</c:v>
                </c:pt>
                <c:pt idx="7">
                  <c:v>899082.56880733895</c:v>
                </c:pt>
                <c:pt idx="8">
                  <c:v>999082.56880733953</c:v>
                </c:pt>
                <c:pt idx="9">
                  <c:v>1467889.9082568807</c:v>
                </c:pt>
                <c:pt idx="10">
                  <c:v>3743119.2660550461</c:v>
                </c:pt>
                <c:pt idx="11">
                  <c:v>4023853.2110091746</c:v>
                </c:pt>
                <c:pt idx="12">
                  <c:v>4174311.926605504</c:v>
                </c:pt>
                <c:pt idx="13">
                  <c:v>4784403.6697247699</c:v>
                </c:pt>
                <c:pt idx="14">
                  <c:v>5366972.4770642193</c:v>
                </c:pt>
                <c:pt idx="15">
                  <c:v>7247706.4220183492</c:v>
                </c:pt>
                <c:pt idx="16">
                  <c:v>7293577.9816513769</c:v>
                </c:pt>
                <c:pt idx="17">
                  <c:v>7798165.1376146795</c:v>
                </c:pt>
                <c:pt idx="18">
                  <c:v>8211009.1743119275</c:v>
                </c:pt>
                <c:pt idx="19">
                  <c:v>8394495.4128440376</c:v>
                </c:pt>
                <c:pt idx="20">
                  <c:v>8889908.2568807341</c:v>
                </c:pt>
                <c:pt idx="21">
                  <c:v>9445871.5596330278</c:v>
                </c:pt>
                <c:pt idx="22">
                  <c:v>9493577.9816513769</c:v>
                </c:pt>
                <c:pt idx="23">
                  <c:v>12110091.743119264</c:v>
                </c:pt>
                <c:pt idx="24">
                  <c:v>16550458.715596329</c:v>
                </c:pt>
                <c:pt idx="25">
                  <c:v>17528440.366972476</c:v>
                </c:pt>
                <c:pt idx="26">
                  <c:v>17979816.513761465</c:v>
                </c:pt>
                <c:pt idx="27">
                  <c:v>18055045.871559631</c:v>
                </c:pt>
                <c:pt idx="28">
                  <c:v>18503669.724770643</c:v>
                </c:pt>
                <c:pt idx="29">
                  <c:v>18807339.449541286</c:v>
                </c:pt>
                <c:pt idx="30">
                  <c:v>20672477.064220183</c:v>
                </c:pt>
                <c:pt idx="31">
                  <c:v>20513761.467889905</c:v>
                </c:pt>
                <c:pt idx="32">
                  <c:v>20987155.96330275</c:v>
                </c:pt>
                <c:pt idx="33">
                  <c:v>22091743.119266052</c:v>
                </c:pt>
                <c:pt idx="34">
                  <c:v>22801834.862385318</c:v>
                </c:pt>
                <c:pt idx="35">
                  <c:v>22880733.944954127</c:v>
                </c:pt>
                <c:pt idx="36">
                  <c:v>22767889.908256881</c:v>
                </c:pt>
                <c:pt idx="37">
                  <c:v>22568807.33944954</c:v>
                </c:pt>
                <c:pt idx="38">
                  <c:v>23748623.853211008</c:v>
                </c:pt>
                <c:pt idx="39">
                  <c:v>25247706.422018345</c:v>
                </c:pt>
                <c:pt idx="40">
                  <c:v>25655963.302752294</c:v>
                </c:pt>
                <c:pt idx="41">
                  <c:v>26201834.862385321</c:v>
                </c:pt>
                <c:pt idx="42">
                  <c:v>26575229.357798163</c:v>
                </c:pt>
                <c:pt idx="43">
                  <c:v>24724770.642201833</c:v>
                </c:pt>
                <c:pt idx="44">
                  <c:v>24770642.201834865</c:v>
                </c:pt>
                <c:pt idx="45">
                  <c:v>25114678.899082571</c:v>
                </c:pt>
                <c:pt idx="46">
                  <c:v>26146788.99082569</c:v>
                </c:pt>
                <c:pt idx="47">
                  <c:v>26477064.220183488</c:v>
                </c:pt>
                <c:pt idx="48">
                  <c:v>25623853.211009175</c:v>
                </c:pt>
                <c:pt idx="49">
                  <c:v>19082568.807339452</c:v>
                </c:pt>
                <c:pt idx="50">
                  <c:v>19604587.155963305</c:v>
                </c:pt>
                <c:pt idx="51">
                  <c:v>18880733.944954131</c:v>
                </c:pt>
                <c:pt idx="52">
                  <c:v>19360550.458715599</c:v>
                </c:pt>
                <c:pt idx="53">
                  <c:v>16100917.431192664</c:v>
                </c:pt>
                <c:pt idx="54">
                  <c:v>15862385.321100919</c:v>
                </c:pt>
                <c:pt idx="55">
                  <c:v>17047706.422018349</c:v>
                </c:pt>
                <c:pt idx="56">
                  <c:v>13276146.788990829</c:v>
                </c:pt>
                <c:pt idx="57">
                  <c:v>4128440.36697248</c:v>
                </c:pt>
                <c:pt idx="58">
                  <c:v>3532110.0917431163</c:v>
                </c:pt>
                <c:pt idx="59">
                  <c:v>3247706.4220183487</c:v>
                </c:pt>
                <c:pt idx="60">
                  <c:v>2747706.4220183454</c:v>
                </c:pt>
                <c:pt idx="61">
                  <c:v>1100917.4311926607</c:v>
                </c:pt>
                <c:pt idx="62">
                  <c:v>641284.40366972098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5-44F5-9270-2A2C6C370EC3}"/>
            </c:ext>
          </c:extLst>
        </c:ser>
        <c:ser>
          <c:idx val="1"/>
          <c:order val="1"/>
          <c:tx>
            <c:strRef>
              <c:f>'2-Data'!$U$2</c:f>
              <c:strCache>
                <c:ptCount val="1"/>
                <c:pt idx="0">
                  <c:v>Margin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'2-Data'!$A$3:$A$66</c:f>
              <c:numCache>
                <c:formatCode>General</c:formatCode>
                <c:ptCount val="64"/>
                <c:pt idx="0">
                  <c:v>39</c:v>
                </c:pt>
                <c:pt idx="1">
                  <c:v>50</c:v>
                </c:pt>
                <c:pt idx="2">
                  <c:v>55</c:v>
                </c:pt>
                <c:pt idx="3">
                  <c:v>56</c:v>
                </c:pt>
                <c:pt idx="4">
                  <c:v>65</c:v>
                </c:pt>
                <c:pt idx="5">
                  <c:v>78</c:v>
                </c:pt>
                <c:pt idx="6">
                  <c:v>80</c:v>
                </c:pt>
                <c:pt idx="7">
                  <c:v>98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129</c:v>
                </c:pt>
                <c:pt idx="12">
                  <c:v>130</c:v>
                </c:pt>
                <c:pt idx="13">
                  <c:v>149</c:v>
                </c:pt>
                <c:pt idx="14">
                  <c:v>150</c:v>
                </c:pt>
                <c:pt idx="15">
                  <c:v>158</c:v>
                </c:pt>
                <c:pt idx="16">
                  <c:v>159</c:v>
                </c:pt>
                <c:pt idx="17">
                  <c:v>170</c:v>
                </c:pt>
                <c:pt idx="18">
                  <c:v>179</c:v>
                </c:pt>
                <c:pt idx="19">
                  <c:v>183</c:v>
                </c:pt>
                <c:pt idx="20">
                  <c:v>190</c:v>
                </c:pt>
                <c:pt idx="21">
                  <c:v>198</c:v>
                </c:pt>
                <c:pt idx="22">
                  <c:v>199</c:v>
                </c:pt>
                <c:pt idx="23">
                  <c:v>200</c:v>
                </c:pt>
                <c:pt idx="24">
                  <c:v>220</c:v>
                </c:pt>
                <c:pt idx="25">
                  <c:v>233</c:v>
                </c:pt>
                <c:pt idx="26">
                  <c:v>239</c:v>
                </c:pt>
                <c:pt idx="27">
                  <c:v>240</c:v>
                </c:pt>
                <c:pt idx="28">
                  <c:v>249</c:v>
                </c:pt>
                <c:pt idx="29">
                  <c:v>250</c:v>
                </c:pt>
                <c:pt idx="30">
                  <c:v>259</c:v>
                </c:pt>
                <c:pt idx="31">
                  <c:v>260</c:v>
                </c:pt>
                <c:pt idx="32">
                  <c:v>266</c:v>
                </c:pt>
                <c:pt idx="33">
                  <c:v>280</c:v>
                </c:pt>
                <c:pt idx="34">
                  <c:v>289</c:v>
                </c:pt>
                <c:pt idx="35">
                  <c:v>290</c:v>
                </c:pt>
                <c:pt idx="36">
                  <c:v>299</c:v>
                </c:pt>
                <c:pt idx="37">
                  <c:v>300</c:v>
                </c:pt>
                <c:pt idx="38">
                  <c:v>301</c:v>
                </c:pt>
                <c:pt idx="39">
                  <c:v>320</c:v>
                </c:pt>
                <c:pt idx="40">
                  <c:v>329</c:v>
                </c:pt>
                <c:pt idx="41">
                  <c:v>340</c:v>
                </c:pt>
                <c:pt idx="42">
                  <c:v>349</c:v>
                </c:pt>
                <c:pt idx="43">
                  <c:v>350</c:v>
                </c:pt>
                <c:pt idx="44">
                  <c:v>360</c:v>
                </c:pt>
                <c:pt idx="45">
                  <c:v>365</c:v>
                </c:pt>
                <c:pt idx="46">
                  <c:v>380</c:v>
                </c:pt>
                <c:pt idx="47">
                  <c:v>390</c:v>
                </c:pt>
                <c:pt idx="48">
                  <c:v>399</c:v>
                </c:pt>
                <c:pt idx="49">
                  <c:v>400</c:v>
                </c:pt>
                <c:pt idx="50">
                  <c:v>419</c:v>
                </c:pt>
                <c:pt idx="51">
                  <c:v>420</c:v>
                </c:pt>
                <c:pt idx="52">
                  <c:v>449</c:v>
                </c:pt>
                <c:pt idx="53">
                  <c:v>450</c:v>
                </c:pt>
                <c:pt idx="54">
                  <c:v>455</c:v>
                </c:pt>
                <c:pt idx="55">
                  <c:v>489</c:v>
                </c:pt>
                <c:pt idx="56">
                  <c:v>499</c:v>
                </c:pt>
                <c:pt idx="57">
                  <c:v>500</c:v>
                </c:pt>
                <c:pt idx="58">
                  <c:v>550</c:v>
                </c:pt>
                <c:pt idx="59">
                  <c:v>590</c:v>
                </c:pt>
                <c:pt idx="60">
                  <c:v>599</c:v>
                </c:pt>
                <c:pt idx="61">
                  <c:v>600</c:v>
                </c:pt>
                <c:pt idx="62">
                  <c:v>699</c:v>
                </c:pt>
                <c:pt idx="63">
                  <c:v>700</c:v>
                </c:pt>
              </c:numCache>
            </c:numRef>
          </c:xVal>
          <c:yVal>
            <c:numRef>
              <c:f>'2-Data'!$U$3:$U$66</c:f>
              <c:numCache>
                <c:formatCode>#,##0</c:formatCode>
                <c:ptCount val="64"/>
                <c:pt idx="0">
                  <c:v>0</c:v>
                </c:pt>
                <c:pt idx="1">
                  <c:v>-45871.559633027246</c:v>
                </c:pt>
                <c:pt idx="2">
                  <c:v>-330275.22935779818</c:v>
                </c:pt>
                <c:pt idx="3">
                  <c:v>-282568.80733944953</c:v>
                </c:pt>
                <c:pt idx="4">
                  <c:v>-224770.64220183488</c:v>
                </c:pt>
                <c:pt idx="5">
                  <c:v>-161467.88990825677</c:v>
                </c:pt>
                <c:pt idx="6">
                  <c:v>-165137.61467889909</c:v>
                </c:pt>
                <c:pt idx="7">
                  <c:v>-18348.623853211</c:v>
                </c:pt>
                <c:pt idx="8">
                  <c:v>-10091.743119266055</c:v>
                </c:pt>
                <c:pt idx="9">
                  <c:v>0</c:v>
                </c:pt>
                <c:pt idx="10">
                  <c:v>623853.21100917435</c:v>
                </c:pt>
                <c:pt idx="11">
                  <c:v>904587.15596330282</c:v>
                </c:pt>
                <c:pt idx="12">
                  <c:v>963302.75229357788</c:v>
                </c:pt>
                <c:pt idx="13">
                  <c:v>1573394.4954128438</c:v>
                </c:pt>
                <c:pt idx="14">
                  <c:v>1788990.8256880732</c:v>
                </c:pt>
                <c:pt idx="15">
                  <c:v>2660550.4587155967</c:v>
                </c:pt>
                <c:pt idx="16">
                  <c:v>2706422.018348624</c:v>
                </c:pt>
                <c:pt idx="17">
                  <c:v>3211009.1743119266</c:v>
                </c:pt>
                <c:pt idx="18">
                  <c:v>3623853.2110091746</c:v>
                </c:pt>
                <c:pt idx="19">
                  <c:v>3807339.4495412847</c:v>
                </c:pt>
                <c:pt idx="20">
                  <c:v>4211009.1743119266</c:v>
                </c:pt>
                <c:pt idx="21">
                  <c:v>4675229.3577981656</c:v>
                </c:pt>
                <c:pt idx="22">
                  <c:v>4722935.7798165139</c:v>
                </c:pt>
                <c:pt idx="23">
                  <c:v>6055045.871559632</c:v>
                </c:pt>
                <c:pt idx="24">
                  <c:v>9027522.9357798155</c:v>
                </c:pt>
                <c:pt idx="25">
                  <c:v>10005504.587155962</c:v>
                </c:pt>
                <c:pt idx="26">
                  <c:v>10456880.733944952</c:v>
                </c:pt>
                <c:pt idx="27">
                  <c:v>10532110.091743119</c:v>
                </c:pt>
                <c:pt idx="28">
                  <c:v>11072477.064220183</c:v>
                </c:pt>
                <c:pt idx="29">
                  <c:v>11284403.669724772</c:v>
                </c:pt>
                <c:pt idx="30">
                  <c:v>12690825.688073395</c:v>
                </c:pt>
                <c:pt idx="31">
                  <c:v>12623853.211009173</c:v>
                </c:pt>
                <c:pt idx="32">
                  <c:v>13097247.706422018</c:v>
                </c:pt>
                <c:pt idx="33">
                  <c:v>14201834.86238532</c:v>
                </c:pt>
                <c:pt idx="34">
                  <c:v>14911926.605504585</c:v>
                </c:pt>
                <c:pt idx="35">
                  <c:v>14990825.688073393</c:v>
                </c:pt>
                <c:pt idx="36">
                  <c:v>15153211.009174312</c:v>
                </c:pt>
                <c:pt idx="37">
                  <c:v>15045871.559633026</c:v>
                </c:pt>
                <c:pt idx="38">
                  <c:v>15858715.596330274</c:v>
                </c:pt>
                <c:pt idx="39">
                  <c:v>17357798.165137615</c:v>
                </c:pt>
                <c:pt idx="40">
                  <c:v>17857798.165137615</c:v>
                </c:pt>
                <c:pt idx="41">
                  <c:v>18495412.844036698</c:v>
                </c:pt>
                <c:pt idx="42">
                  <c:v>18960550.458715595</c:v>
                </c:pt>
                <c:pt idx="43">
                  <c:v>17660550.458715595</c:v>
                </c:pt>
                <c:pt idx="44">
                  <c:v>17889908.256880738</c:v>
                </c:pt>
                <c:pt idx="45">
                  <c:v>18233944.954128444</c:v>
                </c:pt>
                <c:pt idx="46">
                  <c:v>19266055.045871563</c:v>
                </c:pt>
                <c:pt idx="47">
                  <c:v>19688073.394495413</c:v>
                </c:pt>
                <c:pt idx="48">
                  <c:v>19201834.862385321</c:v>
                </c:pt>
                <c:pt idx="49">
                  <c:v>14311926.605504587</c:v>
                </c:pt>
                <c:pt idx="50">
                  <c:v>14925688.073394498</c:v>
                </c:pt>
                <c:pt idx="51">
                  <c:v>14385321.100917434</c:v>
                </c:pt>
                <c:pt idx="52">
                  <c:v>15048623.853211012</c:v>
                </c:pt>
                <c:pt idx="53">
                  <c:v>12522935.779816516</c:v>
                </c:pt>
                <c:pt idx="54">
                  <c:v>12376146.788990827</c:v>
                </c:pt>
                <c:pt idx="55">
                  <c:v>13561467.889908258</c:v>
                </c:pt>
                <c:pt idx="56">
                  <c:v>10615596.330275232</c:v>
                </c:pt>
                <c:pt idx="57">
                  <c:v>3302752.293577984</c:v>
                </c:pt>
                <c:pt idx="58">
                  <c:v>2889908.2568807318</c:v>
                </c:pt>
                <c:pt idx="59">
                  <c:v>2697247.7064220184</c:v>
                </c:pt>
                <c:pt idx="60">
                  <c:v>2288990.8256880706</c:v>
                </c:pt>
                <c:pt idx="61">
                  <c:v>917431.19266055047</c:v>
                </c:pt>
                <c:pt idx="62">
                  <c:v>549541.28440366639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5-44F5-9270-2A2C6C370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404368"/>
        <c:axId val="531405680"/>
      </c:scatterChart>
      <c:valAx>
        <c:axId val="531404368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Price in 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1405680"/>
        <c:crosses val="autoZero"/>
        <c:crossBetween val="midCat"/>
      </c:valAx>
      <c:valAx>
        <c:axId val="5314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140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923E5B-C36A-47C1-9EC9-E03DED6963D9}">
  <sheetPr/>
  <sheetViews>
    <sheetView zoomScale="126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D22E32-3248-47DD-B3B6-F27DA08811C0}">
  <sheetPr/>
  <sheetViews>
    <sheetView zoomScale="126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F60223-D3B7-48ED-9762-00176DB2E9F0}">
  <sheetPr/>
  <sheetViews>
    <sheetView zoomScale="12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5999238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9C1AAE-26FE-4F2C-8B49-5DF0606B5D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5999238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A147903-212A-4D69-9E43-CD86A06359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5999238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0938C63-163F-44C7-80EB-81D473E800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9"/>
  <sheetViews>
    <sheetView tabSelected="1" workbookViewId="0"/>
  </sheetViews>
  <sheetFormatPr baseColWidth="10" defaultColWidth="11.44140625" defaultRowHeight="13.2" x14ac:dyDescent="0.25"/>
  <cols>
    <col min="1" max="2" width="15.6640625" style="22" customWidth="1"/>
    <col min="3" max="3" width="5.6640625" style="22" customWidth="1"/>
    <col min="4" max="5" width="15.6640625" style="22" customWidth="1"/>
    <col min="6" max="6" width="5.6640625" style="22" customWidth="1"/>
    <col min="7" max="8" width="15.6640625" style="22" customWidth="1"/>
    <col min="9" max="9" width="5.6640625" style="22" customWidth="1"/>
    <col min="10" max="11" width="15.6640625" style="22" customWidth="1"/>
    <col min="12" max="16384" width="11.44140625" style="1"/>
  </cols>
  <sheetData>
    <row r="2" spans="1:12" ht="12.75" customHeight="1" x14ac:dyDescent="0.25">
      <c r="A2" s="36" t="s">
        <v>1</v>
      </c>
      <c r="B2" s="36"/>
      <c r="C2" s="16"/>
      <c r="D2" s="36" t="s">
        <v>2</v>
      </c>
      <c r="E2" s="36"/>
      <c r="F2" s="16"/>
      <c r="G2" s="36" t="s">
        <v>3</v>
      </c>
      <c r="H2" s="36"/>
      <c r="I2" s="16"/>
      <c r="J2" s="37" t="s">
        <v>4</v>
      </c>
      <c r="K2" s="37"/>
      <c r="L2" s="2"/>
    </row>
    <row r="3" spans="1:12" x14ac:dyDescent="0.25">
      <c r="A3" s="17" t="s">
        <v>5</v>
      </c>
      <c r="B3" s="18" t="s">
        <v>0</v>
      </c>
      <c r="C3" s="16"/>
      <c r="D3" s="19" t="s">
        <v>5</v>
      </c>
      <c r="E3" s="18" t="s">
        <v>0</v>
      </c>
      <c r="F3" s="16"/>
      <c r="G3" s="19" t="s">
        <v>5</v>
      </c>
      <c r="H3" s="18" t="s">
        <v>0</v>
      </c>
      <c r="I3" s="16"/>
      <c r="J3" s="19" t="s">
        <v>5</v>
      </c>
      <c r="K3" s="18" t="s">
        <v>0</v>
      </c>
      <c r="L3" s="2"/>
    </row>
    <row r="4" spans="1:12" x14ac:dyDescent="0.25">
      <c r="A4" s="20">
        <v>39</v>
      </c>
      <c r="B4" s="21">
        <v>1</v>
      </c>
      <c r="C4" s="16"/>
      <c r="D4" s="20">
        <v>50</v>
      </c>
      <c r="E4" s="21">
        <v>1</v>
      </c>
      <c r="F4" s="16"/>
      <c r="G4" s="20">
        <v>55</v>
      </c>
      <c r="H4" s="21">
        <v>1</v>
      </c>
      <c r="I4" s="16"/>
      <c r="J4" s="20">
        <v>56</v>
      </c>
      <c r="K4" s="21">
        <v>1</v>
      </c>
      <c r="L4" s="2"/>
    </row>
    <row r="5" spans="1:12" x14ac:dyDescent="0.25">
      <c r="A5" s="20">
        <v>50</v>
      </c>
      <c r="B5" s="21">
        <v>7</v>
      </c>
      <c r="C5" s="16"/>
      <c r="D5" s="20">
        <v>100</v>
      </c>
      <c r="E5" s="21">
        <v>1</v>
      </c>
      <c r="F5" s="16"/>
      <c r="G5" s="20">
        <v>150</v>
      </c>
      <c r="H5" s="21">
        <v>2</v>
      </c>
      <c r="I5" s="16"/>
      <c r="J5" s="20">
        <v>100</v>
      </c>
      <c r="K5" s="21">
        <v>1</v>
      </c>
      <c r="L5" s="2"/>
    </row>
    <row r="6" spans="1:12" x14ac:dyDescent="0.25">
      <c r="A6" s="20">
        <v>65</v>
      </c>
      <c r="B6" s="21">
        <v>1</v>
      </c>
      <c r="C6" s="16"/>
      <c r="D6" s="20">
        <v>120</v>
      </c>
      <c r="E6" s="21">
        <v>2</v>
      </c>
      <c r="F6" s="16"/>
      <c r="G6" s="20">
        <v>198</v>
      </c>
      <c r="H6" s="21">
        <v>1</v>
      </c>
      <c r="I6" s="16"/>
      <c r="J6" s="20">
        <v>200</v>
      </c>
      <c r="K6" s="21">
        <v>1</v>
      </c>
      <c r="L6" s="2"/>
    </row>
    <row r="7" spans="1:12" x14ac:dyDescent="0.25">
      <c r="A7" s="20">
        <v>78</v>
      </c>
      <c r="B7" s="21">
        <v>1</v>
      </c>
      <c r="C7" s="16"/>
      <c r="D7" s="20">
        <v>130</v>
      </c>
      <c r="E7" s="21">
        <v>1</v>
      </c>
      <c r="F7" s="16"/>
      <c r="G7" s="20">
        <v>199</v>
      </c>
      <c r="H7" s="21">
        <v>2</v>
      </c>
      <c r="I7" s="16"/>
      <c r="J7" s="20">
        <v>239</v>
      </c>
      <c r="K7" s="21">
        <v>1</v>
      </c>
      <c r="L7" s="2"/>
    </row>
    <row r="8" spans="1:12" x14ac:dyDescent="0.25">
      <c r="A8" s="20">
        <v>80</v>
      </c>
      <c r="B8" s="21">
        <v>1</v>
      </c>
      <c r="C8" s="16"/>
      <c r="D8" s="20">
        <v>149</v>
      </c>
      <c r="E8" s="21">
        <v>1</v>
      </c>
      <c r="F8" s="16"/>
      <c r="G8" s="20">
        <v>200</v>
      </c>
      <c r="H8" s="21">
        <v>2</v>
      </c>
      <c r="I8" s="16"/>
      <c r="J8" s="20">
        <v>249</v>
      </c>
      <c r="K8" s="21">
        <v>1</v>
      </c>
      <c r="L8" s="2"/>
    </row>
    <row r="9" spans="1:12" x14ac:dyDescent="0.25">
      <c r="A9" s="20">
        <v>98</v>
      </c>
      <c r="B9" s="21">
        <v>1</v>
      </c>
      <c r="C9" s="16"/>
      <c r="D9" s="20">
        <v>150</v>
      </c>
      <c r="E9" s="21">
        <v>4</v>
      </c>
      <c r="F9" s="16"/>
      <c r="G9" s="20">
        <v>240</v>
      </c>
      <c r="H9" s="21">
        <v>1</v>
      </c>
      <c r="I9" s="16"/>
      <c r="J9" s="20">
        <v>250</v>
      </c>
      <c r="K9" s="21">
        <v>1</v>
      </c>
      <c r="L9" s="2"/>
    </row>
    <row r="10" spans="1:12" x14ac:dyDescent="0.25">
      <c r="A10" s="20">
        <v>99</v>
      </c>
      <c r="B10" s="21">
        <v>6</v>
      </c>
      <c r="C10" s="16"/>
      <c r="D10" s="20">
        <v>158</v>
      </c>
      <c r="E10" s="21">
        <v>1</v>
      </c>
      <c r="F10" s="16"/>
      <c r="G10" s="20">
        <v>249</v>
      </c>
      <c r="H10" s="21">
        <v>3</v>
      </c>
      <c r="I10" s="16"/>
      <c r="J10" s="20">
        <v>260</v>
      </c>
      <c r="K10" s="21">
        <v>1</v>
      </c>
      <c r="L10" s="2"/>
    </row>
    <row r="11" spans="1:12" x14ac:dyDescent="0.25">
      <c r="A11" s="20">
        <v>100</v>
      </c>
      <c r="B11" s="21">
        <v>18</v>
      </c>
      <c r="C11" s="16"/>
      <c r="D11" s="20">
        <v>159</v>
      </c>
      <c r="E11" s="21">
        <v>1</v>
      </c>
      <c r="F11" s="16"/>
      <c r="G11" s="20">
        <v>250</v>
      </c>
      <c r="H11" s="21">
        <v>7</v>
      </c>
      <c r="I11" s="16"/>
      <c r="J11" s="20">
        <v>280</v>
      </c>
      <c r="K11" s="21">
        <v>1</v>
      </c>
      <c r="L11" s="2"/>
    </row>
    <row r="12" spans="1:12" x14ac:dyDescent="0.25">
      <c r="A12" s="20">
        <v>129</v>
      </c>
      <c r="B12" s="21">
        <v>1</v>
      </c>
      <c r="C12" s="16"/>
      <c r="D12" s="20">
        <v>170</v>
      </c>
      <c r="E12" s="21">
        <v>1</v>
      </c>
      <c r="F12" s="16"/>
      <c r="G12" s="20">
        <v>259</v>
      </c>
      <c r="H12" s="21">
        <v>2</v>
      </c>
      <c r="I12" s="16"/>
      <c r="J12" s="20">
        <v>299</v>
      </c>
      <c r="K12" s="21">
        <v>4</v>
      </c>
      <c r="L12" s="2"/>
    </row>
    <row r="13" spans="1:12" x14ac:dyDescent="0.25">
      <c r="A13" s="20">
        <v>149</v>
      </c>
      <c r="B13" s="21">
        <v>4</v>
      </c>
      <c r="C13" s="16"/>
      <c r="D13" s="20">
        <v>179</v>
      </c>
      <c r="E13" s="21">
        <v>1</v>
      </c>
      <c r="F13" s="16"/>
      <c r="G13" s="20">
        <v>299</v>
      </c>
      <c r="H13" s="21">
        <v>11</v>
      </c>
      <c r="I13" s="16"/>
      <c r="J13" s="20">
        <v>300</v>
      </c>
      <c r="K13" s="21">
        <v>8</v>
      </c>
      <c r="L13" s="2"/>
    </row>
    <row r="14" spans="1:12" x14ac:dyDescent="0.25">
      <c r="A14" s="20">
        <v>150</v>
      </c>
      <c r="B14" s="21">
        <v>11</v>
      </c>
      <c r="C14" s="16"/>
      <c r="D14" s="20">
        <v>199</v>
      </c>
      <c r="E14" s="21">
        <v>4</v>
      </c>
      <c r="F14" s="16"/>
      <c r="G14" s="20">
        <v>300</v>
      </c>
      <c r="H14" s="21">
        <v>12</v>
      </c>
      <c r="I14" s="16"/>
      <c r="J14" s="20">
        <v>301</v>
      </c>
      <c r="K14" s="21">
        <v>1</v>
      </c>
      <c r="L14" s="2"/>
    </row>
    <row r="15" spans="1:12" x14ac:dyDescent="0.25">
      <c r="A15" s="20">
        <v>183</v>
      </c>
      <c r="B15" s="21">
        <v>1</v>
      </c>
      <c r="C15" s="16"/>
      <c r="D15" s="20">
        <v>200</v>
      </c>
      <c r="E15" s="21">
        <v>14</v>
      </c>
      <c r="F15" s="16"/>
      <c r="G15" s="20">
        <v>320</v>
      </c>
      <c r="H15" s="21">
        <v>2</v>
      </c>
      <c r="I15" s="16"/>
      <c r="J15" s="20">
        <v>329</v>
      </c>
      <c r="K15" s="21">
        <v>1</v>
      </c>
      <c r="L15" s="2"/>
    </row>
    <row r="16" spans="1:12" x14ac:dyDescent="0.25">
      <c r="A16" s="20">
        <v>190</v>
      </c>
      <c r="B16" s="21">
        <v>1</v>
      </c>
      <c r="C16" s="16"/>
      <c r="D16" s="20">
        <v>220</v>
      </c>
      <c r="E16" s="21">
        <v>1</v>
      </c>
      <c r="F16" s="16"/>
      <c r="G16" s="20">
        <v>340</v>
      </c>
      <c r="H16" s="21">
        <v>1</v>
      </c>
      <c r="I16" s="16"/>
      <c r="J16" s="20">
        <v>340</v>
      </c>
      <c r="K16" s="21">
        <v>1</v>
      </c>
      <c r="L16" s="2"/>
    </row>
    <row r="17" spans="1:12" x14ac:dyDescent="0.25">
      <c r="A17" s="20">
        <v>199</v>
      </c>
      <c r="B17" s="21">
        <v>15</v>
      </c>
      <c r="C17" s="16"/>
      <c r="D17" s="20">
        <v>240</v>
      </c>
      <c r="E17" s="21">
        <v>1</v>
      </c>
      <c r="F17" s="16"/>
      <c r="G17" s="20">
        <v>349</v>
      </c>
      <c r="H17" s="21">
        <v>7</v>
      </c>
      <c r="I17" s="16"/>
      <c r="J17" s="20">
        <v>349</v>
      </c>
      <c r="K17" s="21">
        <v>1</v>
      </c>
      <c r="L17" s="2"/>
    </row>
    <row r="18" spans="1:12" x14ac:dyDescent="0.25">
      <c r="A18" s="20">
        <v>200</v>
      </c>
      <c r="B18" s="21">
        <v>16</v>
      </c>
      <c r="C18" s="16"/>
      <c r="D18" s="20">
        <v>249</v>
      </c>
      <c r="E18" s="21">
        <v>6</v>
      </c>
      <c r="F18" s="16"/>
      <c r="G18" s="20">
        <v>350</v>
      </c>
      <c r="H18" s="21">
        <v>20</v>
      </c>
      <c r="I18" s="16"/>
      <c r="J18" s="20">
        <v>350</v>
      </c>
      <c r="K18" s="21">
        <v>7</v>
      </c>
      <c r="L18" s="2"/>
    </row>
    <row r="19" spans="1:12" x14ac:dyDescent="0.25">
      <c r="A19" s="20">
        <v>233</v>
      </c>
      <c r="B19" s="21">
        <v>1</v>
      </c>
      <c r="C19" s="16"/>
      <c r="D19" s="20">
        <v>250</v>
      </c>
      <c r="E19" s="21">
        <v>16</v>
      </c>
      <c r="F19" s="16"/>
      <c r="G19" s="20">
        <v>380</v>
      </c>
      <c r="H19" s="21">
        <v>3</v>
      </c>
      <c r="I19" s="16"/>
      <c r="J19" s="20">
        <v>360</v>
      </c>
      <c r="K19" s="21">
        <v>2</v>
      </c>
      <c r="L19" s="2"/>
    </row>
    <row r="20" spans="1:12" x14ac:dyDescent="0.25">
      <c r="A20" s="20">
        <v>249</v>
      </c>
      <c r="B20" s="21">
        <v>2</v>
      </c>
      <c r="C20" s="16"/>
      <c r="D20" s="20">
        <v>280</v>
      </c>
      <c r="E20" s="21">
        <v>1</v>
      </c>
      <c r="F20" s="16"/>
      <c r="G20" s="20">
        <v>390</v>
      </c>
      <c r="H20" s="21">
        <v>1</v>
      </c>
      <c r="I20" s="16"/>
      <c r="J20" s="20">
        <v>390</v>
      </c>
      <c r="K20" s="21">
        <v>1</v>
      </c>
      <c r="L20" s="2"/>
    </row>
    <row r="21" spans="1:12" x14ac:dyDescent="0.25">
      <c r="A21" s="20">
        <v>250</v>
      </c>
      <c r="B21" s="21">
        <v>5</v>
      </c>
      <c r="C21" s="16"/>
      <c r="D21" s="20">
        <v>289</v>
      </c>
      <c r="E21" s="21">
        <v>1</v>
      </c>
      <c r="F21" s="16"/>
      <c r="G21" s="20">
        <v>399</v>
      </c>
      <c r="H21" s="21">
        <v>8</v>
      </c>
      <c r="I21" s="16"/>
      <c r="J21" s="20">
        <v>399</v>
      </c>
      <c r="K21" s="21">
        <v>4</v>
      </c>
      <c r="L21" s="2"/>
    </row>
    <row r="22" spans="1:12" x14ac:dyDescent="0.25">
      <c r="A22" s="20">
        <v>266</v>
      </c>
      <c r="B22" s="21">
        <v>1</v>
      </c>
      <c r="C22" s="16"/>
      <c r="D22" s="20">
        <v>290</v>
      </c>
      <c r="E22" s="21">
        <v>2</v>
      </c>
      <c r="F22" s="16"/>
      <c r="G22" s="20">
        <v>400</v>
      </c>
      <c r="H22" s="21">
        <v>17</v>
      </c>
      <c r="I22" s="16"/>
      <c r="J22" s="20">
        <v>400</v>
      </c>
      <c r="K22" s="21">
        <v>18</v>
      </c>
      <c r="L22" s="2"/>
    </row>
    <row r="23" spans="1:12" x14ac:dyDescent="0.25">
      <c r="A23" s="20">
        <v>290</v>
      </c>
      <c r="B23" s="21">
        <v>1</v>
      </c>
      <c r="C23" s="16"/>
      <c r="D23" s="20">
        <v>299</v>
      </c>
      <c r="E23" s="21">
        <v>13</v>
      </c>
      <c r="F23" s="16"/>
      <c r="G23" s="20">
        <v>449</v>
      </c>
      <c r="H23" s="21">
        <v>2</v>
      </c>
      <c r="I23" s="16"/>
      <c r="J23" s="20">
        <v>419</v>
      </c>
      <c r="K23" s="21">
        <v>1</v>
      </c>
      <c r="L23" s="2"/>
    </row>
    <row r="24" spans="1:12" x14ac:dyDescent="0.25">
      <c r="A24" s="20">
        <v>299</v>
      </c>
      <c r="B24" s="21">
        <v>7</v>
      </c>
      <c r="C24" s="16"/>
      <c r="D24" s="20">
        <v>300</v>
      </c>
      <c r="E24" s="21">
        <v>16</v>
      </c>
      <c r="F24" s="16"/>
      <c r="G24" s="20">
        <v>489</v>
      </c>
      <c r="H24" s="21">
        <v>1</v>
      </c>
      <c r="I24" s="16"/>
      <c r="J24" s="20">
        <v>420</v>
      </c>
      <c r="K24" s="21">
        <v>2</v>
      </c>
      <c r="L24" s="2"/>
    </row>
    <row r="25" spans="1:12" x14ac:dyDescent="0.25">
      <c r="A25" s="20">
        <v>300</v>
      </c>
      <c r="B25" s="21">
        <v>5</v>
      </c>
      <c r="C25" s="16"/>
      <c r="D25" s="20">
        <v>320</v>
      </c>
      <c r="E25" s="21">
        <v>1</v>
      </c>
      <c r="F25" s="16"/>
      <c r="G25" s="20">
        <v>499</v>
      </c>
      <c r="H25" s="21">
        <v>1</v>
      </c>
      <c r="I25" s="16"/>
      <c r="J25" s="20">
        <v>449</v>
      </c>
      <c r="K25" s="21">
        <v>2</v>
      </c>
      <c r="L25" s="2"/>
    </row>
    <row r="26" spans="1:12" x14ac:dyDescent="0.25">
      <c r="A26" s="20">
        <v>349</v>
      </c>
      <c r="B26" s="21">
        <v>1</v>
      </c>
      <c r="C26" s="16"/>
      <c r="D26" s="20">
        <v>349</v>
      </c>
      <c r="E26" s="21">
        <v>3</v>
      </c>
      <c r="F26" s="16"/>
      <c r="G26" s="20">
        <v>500</v>
      </c>
      <c r="H26" s="21">
        <v>3</v>
      </c>
      <c r="I26" s="16"/>
      <c r="J26" s="20">
        <v>450</v>
      </c>
      <c r="K26" s="21">
        <v>8</v>
      </c>
      <c r="L26" s="2"/>
    </row>
    <row r="27" spans="1:12" x14ac:dyDescent="0.25">
      <c r="A27" s="20">
        <v>500</v>
      </c>
      <c r="B27" s="21">
        <v>1</v>
      </c>
      <c r="C27" s="16"/>
      <c r="D27" s="20">
        <v>350</v>
      </c>
      <c r="E27" s="21">
        <v>8</v>
      </c>
      <c r="F27" s="16"/>
      <c r="G27" s="20">
        <v>599</v>
      </c>
      <c r="H27" s="21">
        <v>1</v>
      </c>
      <c r="I27" s="16"/>
      <c r="J27" s="20">
        <v>455</v>
      </c>
      <c r="K27" s="21">
        <v>1</v>
      </c>
      <c r="L27" s="2"/>
    </row>
    <row r="28" spans="1:12" x14ac:dyDescent="0.25">
      <c r="C28" s="16"/>
      <c r="D28" s="20">
        <v>360</v>
      </c>
      <c r="E28" s="21">
        <v>1</v>
      </c>
      <c r="F28" s="16"/>
      <c r="G28" s="20">
        <v>600</v>
      </c>
      <c r="H28" s="21">
        <v>1</v>
      </c>
      <c r="I28" s="16"/>
      <c r="J28" s="20">
        <v>499</v>
      </c>
      <c r="K28" s="21">
        <v>9</v>
      </c>
      <c r="L28" s="2"/>
    </row>
    <row r="29" spans="1:12" x14ac:dyDescent="0.25">
      <c r="C29" s="16"/>
      <c r="D29" s="20">
        <v>365</v>
      </c>
      <c r="E29" s="21">
        <v>1</v>
      </c>
      <c r="F29" s="16"/>
      <c r="I29" s="16"/>
      <c r="J29" s="20">
        <v>500</v>
      </c>
      <c r="K29" s="21">
        <v>20</v>
      </c>
      <c r="L29" s="2"/>
    </row>
    <row r="30" spans="1:12" x14ac:dyDescent="0.25">
      <c r="A30" s="23"/>
      <c r="B30" s="21"/>
      <c r="C30" s="16"/>
      <c r="D30" s="20">
        <v>380</v>
      </c>
      <c r="E30" s="21">
        <v>1</v>
      </c>
      <c r="F30" s="16"/>
      <c r="G30" s="23"/>
      <c r="H30" s="21"/>
      <c r="I30" s="16"/>
      <c r="J30" s="20">
        <v>550</v>
      </c>
      <c r="K30" s="21">
        <v>3</v>
      </c>
      <c r="L30" s="2"/>
    </row>
    <row r="31" spans="1:12" x14ac:dyDescent="0.25">
      <c r="A31" s="24"/>
      <c r="B31" s="21"/>
      <c r="C31" s="16"/>
      <c r="D31" s="20">
        <v>399</v>
      </c>
      <c r="E31" s="21">
        <v>3</v>
      </c>
      <c r="F31" s="16"/>
      <c r="G31" s="24"/>
      <c r="H31" s="21"/>
      <c r="I31" s="16"/>
      <c r="J31" s="20">
        <v>590</v>
      </c>
      <c r="K31" s="21">
        <v>1</v>
      </c>
      <c r="L31" s="2"/>
    </row>
    <row r="32" spans="1:12" x14ac:dyDescent="0.25">
      <c r="A32" s="25"/>
      <c r="B32" s="21"/>
      <c r="C32" s="16"/>
      <c r="D32" s="20">
        <v>400</v>
      </c>
      <c r="E32" s="21">
        <v>2</v>
      </c>
      <c r="F32" s="16"/>
      <c r="G32" s="25"/>
      <c r="H32" s="21"/>
      <c r="I32" s="16"/>
      <c r="J32" s="20">
        <v>599</v>
      </c>
      <c r="K32" s="21">
        <v>1</v>
      </c>
      <c r="L32" s="2"/>
    </row>
    <row r="33" spans="4:12" x14ac:dyDescent="0.25">
      <c r="D33" s="20">
        <v>500</v>
      </c>
      <c r="E33" s="21">
        <v>1</v>
      </c>
      <c r="F33" s="16"/>
      <c r="J33" s="20">
        <v>600</v>
      </c>
      <c r="K33" s="21">
        <v>3</v>
      </c>
      <c r="L33" s="2"/>
    </row>
    <row r="34" spans="4:12" x14ac:dyDescent="0.25">
      <c r="F34" s="16"/>
      <c r="J34" s="20">
        <v>699</v>
      </c>
      <c r="K34" s="21">
        <v>1</v>
      </c>
      <c r="L34" s="2"/>
    </row>
    <row r="35" spans="4:12" x14ac:dyDescent="0.25">
      <c r="D35" s="23"/>
      <c r="E35" s="21"/>
      <c r="F35" s="16"/>
      <c r="J35" s="20">
        <v>700</v>
      </c>
      <c r="K35" s="21">
        <v>1</v>
      </c>
      <c r="L35" s="2"/>
    </row>
    <row r="36" spans="4:12" x14ac:dyDescent="0.25">
      <c r="D36" s="24"/>
      <c r="E36" s="21"/>
      <c r="F36" s="16"/>
      <c r="L36" s="2"/>
    </row>
    <row r="37" spans="4:12" x14ac:dyDescent="0.25">
      <c r="D37" s="23"/>
      <c r="E37" s="21"/>
      <c r="F37" s="16"/>
      <c r="G37" s="26"/>
      <c r="J37" s="23"/>
      <c r="K37" s="21"/>
      <c r="L37" s="2"/>
    </row>
    <row r="38" spans="4:12" x14ac:dyDescent="0.25">
      <c r="J38" s="24"/>
      <c r="K38" s="21"/>
      <c r="L38" s="2"/>
    </row>
    <row r="39" spans="4:12" x14ac:dyDescent="0.25">
      <c r="J39" s="23"/>
      <c r="K39" s="21"/>
      <c r="L39" s="2"/>
    </row>
  </sheetData>
  <mergeCells count="4">
    <mergeCell ref="G2:H2"/>
    <mergeCell ref="J2:K2"/>
    <mergeCell ref="A2:B2"/>
    <mergeCell ref="D2:E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6"/>
  <sheetViews>
    <sheetView zoomScaleNormal="100" workbookViewId="0"/>
  </sheetViews>
  <sheetFormatPr baseColWidth="10" defaultColWidth="11.44140625" defaultRowHeight="12.75" customHeight="1" x14ac:dyDescent="0.25"/>
  <cols>
    <col min="1" max="1" width="15.6640625" style="27" customWidth="1"/>
    <col min="2" max="5" width="15.6640625" style="28" customWidth="1"/>
    <col min="6" max="6" width="5.6640625" style="4" customWidth="1"/>
    <col min="7" max="7" width="15.6640625" style="28" customWidth="1"/>
    <col min="8" max="8" width="15.6640625" style="29" customWidth="1"/>
    <col min="9" max="10" width="15.6640625" style="28" customWidth="1"/>
    <col min="11" max="11" width="15.6640625" style="30" customWidth="1"/>
    <col min="12" max="12" width="15.6640625" style="28" customWidth="1"/>
    <col min="13" max="13" width="15.6640625" style="30" customWidth="1"/>
    <col min="14" max="14" width="15.6640625" style="28" customWidth="1"/>
    <col min="15" max="15" width="5.6640625" style="4" customWidth="1"/>
    <col min="16" max="17" width="15.6640625" style="3" customWidth="1"/>
    <col min="18" max="18" width="5.6640625" style="5" customWidth="1"/>
    <col min="19" max="21" width="15.6640625" style="5" customWidth="1"/>
    <col min="22" max="16384" width="11.44140625" style="5"/>
  </cols>
  <sheetData>
    <row r="1" spans="1:21" ht="12.75" customHeight="1" x14ac:dyDescent="0.25">
      <c r="B1" s="28">
        <f>SUM(B3:B66)</f>
        <v>109</v>
      </c>
      <c r="C1" s="28">
        <f>SUM(C3:C66)</f>
        <v>110</v>
      </c>
      <c r="D1" s="28">
        <f>SUM(D3:D66)</f>
        <v>112</v>
      </c>
      <c r="E1" s="28">
        <f>SUM(E3:E66)</f>
        <v>109</v>
      </c>
      <c r="T1" s="5">
        <v>100000</v>
      </c>
      <c r="U1" s="5">
        <v>100</v>
      </c>
    </row>
    <row r="2" spans="1:21" s="34" customFormat="1" ht="25.5" customHeight="1" x14ac:dyDescent="0.3">
      <c r="A2" s="6" t="s">
        <v>5</v>
      </c>
      <c r="B2" s="7" t="s">
        <v>1</v>
      </c>
      <c r="C2" s="7" t="s">
        <v>2</v>
      </c>
      <c r="D2" s="7" t="s">
        <v>3</v>
      </c>
      <c r="E2" s="7" t="s">
        <v>4</v>
      </c>
      <c r="F2" s="8"/>
      <c r="G2" s="9" t="s">
        <v>6</v>
      </c>
      <c r="H2" s="10" t="s">
        <v>7</v>
      </c>
      <c r="I2" s="9" t="s">
        <v>8</v>
      </c>
      <c r="J2" s="9" t="s">
        <v>9</v>
      </c>
      <c r="K2" s="11" t="s">
        <v>10</v>
      </c>
      <c r="L2" s="9" t="s">
        <v>11</v>
      </c>
      <c r="M2" s="11" t="s">
        <v>12</v>
      </c>
      <c r="N2" s="9" t="s">
        <v>13</v>
      </c>
      <c r="O2" s="12"/>
      <c r="P2" s="9" t="s">
        <v>15</v>
      </c>
      <c r="Q2" s="9" t="s">
        <v>16</v>
      </c>
      <c r="S2" s="7" t="s">
        <v>14</v>
      </c>
      <c r="T2" s="7" t="s">
        <v>17</v>
      </c>
      <c r="U2" s="7" t="s">
        <v>18</v>
      </c>
    </row>
    <row r="3" spans="1:21" ht="12.75" customHeight="1" x14ac:dyDescent="0.25">
      <c r="A3" s="20">
        <v>39</v>
      </c>
      <c r="B3" s="28">
        <v>1</v>
      </c>
      <c r="C3" s="28">
        <v>0</v>
      </c>
      <c r="D3" s="28">
        <v>0</v>
      </c>
      <c r="E3" s="28">
        <v>0</v>
      </c>
      <c r="G3" s="28">
        <f>B1</f>
        <v>109</v>
      </c>
      <c r="H3" s="31">
        <f>G3/$B$1</f>
        <v>1</v>
      </c>
      <c r="I3" s="28">
        <f>$C$1-SUM($C$3:C3)</f>
        <v>110</v>
      </c>
      <c r="J3" s="32">
        <f>I3/$C$1</f>
        <v>1</v>
      </c>
      <c r="K3" s="33">
        <f>SUM(D$3:D3)</f>
        <v>0</v>
      </c>
      <c r="L3" s="32">
        <f>K3/$D$1</f>
        <v>0</v>
      </c>
      <c r="M3" s="33">
        <f>SUM($E$3:E3)</f>
        <v>0</v>
      </c>
      <c r="N3" s="32">
        <f>M3/$E$1</f>
        <v>0</v>
      </c>
      <c r="O3" s="13"/>
      <c r="P3" s="14">
        <f>100%-J3</f>
        <v>0</v>
      </c>
      <c r="Q3" s="14">
        <f>100%-L3</f>
        <v>1</v>
      </c>
      <c r="S3" s="15">
        <f>100%-H3-N3</f>
        <v>0</v>
      </c>
      <c r="T3" s="35">
        <f t="shared" ref="T3:T34" si="0">A3*$T$1*S3</f>
        <v>0</v>
      </c>
      <c r="U3" s="35">
        <f t="shared" ref="U3:U34" si="1">(A3-$U$1)*$T$1*S3</f>
        <v>0</v>
      </c>
    </row>
    <row r="4" spans="1:21" ht="12.75" customHeight="1" x14ac:dyDescent="0.25">
      <c r="A4" s="20">
        <v>50</v>
      </c>
      <c r="B4" s="28">
        <v>7</v>
      </c>
      <c r="C4" s="28">
        <v>1</v>
      </c>
      <c r="D4" s="28">
        <v>0</v>
      </c>
      <c r="E4" s="28">
        <v>0</v>
      </c>
      <c r="G4" s="28">
        <f>$B$1-SUM($B$3:B3)</f>
        <v>108</v>
      </c>
      <c r="H4" s="31">
        <f t="shared" ref="H4:H66" si="2">G4/$B$1</f>
        <v>0.99082568807339455</v>
      </c>
      <c r="I4" s="28">
        <f>$C$1-SUM($C$3:C4)</f>
        <v>109</v>
      </c>
      <c r="J4" s="32">
        <f t="shared" ref="J4:J66" si="3">I4/$C$1</f>
        <v>0.99090909090909096</v>
      </c>
      <c r="K4" s="33">
        <f>SUM(D$3:D4)</f>
        <v>0</v>
      </c>
      <c r="L4" s="32">
        <f t="shared" ref="L4:L66" si="4">K4/$D$1</f>
        <v>0</v>
      </c>
      <c r="M4" s="33">
        <f>SUM($E$3:E4)</f>
        <v>0</v>
      </c>
      <c r="N4" s="32">
        <f t="shared" ref="N4:N66" si="5">M4/$E$1</f>
        <v>0</v>
      </c>
      <c r="O4" s="13"/>
      <c r="P4" s="14">
        <f t="shared" ref="P4:P66" si="6">100%-J4</f>
        <v>9.0909090909090384E-3</v>
      </c>
      <c r="Q4" s="14">
        <f t="shared" ref="Q4:Q66" si="7">100%-L4</f>
        <v>1</v>
      </c>
      <c r="S4" s="15">
        <f t="shared" ref="S4:S66" si="8">100%-H4-N4</f>
        <v>9.1743119266054496E-3</v>
      </c>
      <c r="T4" s="35">
        <f t="shared" si="0"/>
        <v>45871.559633027246</v>
      </c>
      <c r="U4" s="35">
        <f t="shared" si="1"/>
        <v>-45871.559633027246</v>
      </c>
    </row>
    <row r="5" spans="1:21" ht="12.75" customHeight="1" x14ac:dyDescent="0.25">
      <c r="A5" s="20">
        <v>55</v>
      </c>
      <c r="B5" s="28">
        <v>0</v>
      </c>
      <c r="C5" s="28">
        <v>0</v>
      </c>
      <c r="D5" s="28">
        <v>1</v>
      </c>
      <c r="E5" s="28">
        <v>0</v>
      </c>
      <c r="G5" s="28">
        <f>$B$1-SUM($B$3:B4)</f>
        <v>101</v>
      </c>
      <c r="H5" s="31">
        <f t="shared" si="2"/>
        <v>0.92660550458715596</v>
      </c>
      <c r="I5" s="28">
        <f>$C$1-SUM($C$3:C5)</f>
        <v>109</v>
      </c>
      <c r="J5" s="32">
        <f t="shared" si="3"/>
        <v>0.99090909090909096</v>
      </c>
      <c r="K5" s="33">
        <f>SUM(D$3:D5)</f>
        <v>1</v>
      </c>
      <c r="L5" s="32">
        <f t="shared" si="4"/>
        <v>8.9285714285714281E-3</v>
      </c>
      <c r="M5" s="33">
        <f>SUM($E$3:E5)</f>
        <v>0</v>
      </c>
      <c r="N5" s="32">
        <f t="shared" si="5"/>
        <v>0</v>
      </c>
      <c r="O5" s="13"/>
      <c r="P5" s="14">
        <f t="shared" si="6"/>
        <v>9.0909090909090384E-3</v>
      </c>
      <c r="Q5" s="14">
        <f t="shared" si="7"/>
        <v>0.9910714285714286</v>
      </c>
      <c r="S5" s="15">
        <f t="shared" si="8"/>
        <v>7.3394495412844041E-2</v>
      </c>
      <c r="T5" s="35">
        <f t="shared" si="0"/>
        <v>403669.72477064223</v>
      </c>
      <c r="U5" s="35">
        <f t="shared" si="1"/>
        <v>-330275.22935779818</v>
      </c>
    </row>
    <row r="6" spans="1:21" ht="12.75" customHeight="1" x14ac:dyDescent="0.25">
      <c r="A6" s="20">
        <v>56</v>
      </c>
      <c r="B6" s="28">
        <v>0</v>
      </c>
      <c r="C6" s="28">
        <v>0</v>
      </c>
      <c r="D6" s="28">
        <v>0</v>
      </c>
      <c r="E6" s="28">
        <v>1</v>
      </c>
      <c r="G6" s="28">
        <f>$B$1-SUM($B$3:B5)</f>
        <v>101</v>
      </c>
      <c r="H6" s="31">
        <f t="shared" si="2"/>
        <v>0.92660550458715596</v>
      </c>
      <c r="I6" s="28">
        <f>$C$1-SUM($C$3:C6)</f>
        <v>109</v>
      </c>
      <c r="J6" s="32">
        <f t="shared" si="3"/>
        <v>0.99090909090909096</v>
      </c>
      <c r="K6" s="33">
        <f>SUM(D$3:D6)</f>
        <v>1</v>
      </c>
      <c r="L6" s="32">
        <f t="shared" si="4"/>
        <v>8.9285714285714281E-3</v>
      </c>
      <c r="M6" s="33">
        <f>SUM($E$3:E6)</f>
        <v>1</v>
      </c>
      <c r="N6" s="32">
        <f t="shared" si="5"/>
        <v>9.1743119266055051E-3</v>
      </c>
      <c r="O6" s="13"/>
      <c r="P6" s="14">
        <f t="shared" si="6"/>
        <v>9.0909090909090384E-3</v>
      </c>
      <c r="Q6" s="14">
        <f t="shared" si="7"/>
        <v>0.9910714285714286</v>
      </c>
      <c r="S6" s="15">
        <f t="shared" si="8"/>
        <v>6.4220183486238536E-2</v>
      </c>
      <c r="T6" s="35">
        <f t="shared" si="0"/>
        <v>359633.02752293582</v>
      </c>
      <c r="U6" s="35">
        <f t="shared" si="1"/>
        <v>-282568.80733944953</v>
      </c>
    </row>
    <row r="7" spans="1:21" ht="12.75" customHeight="1" x14ac:dyDescent="0.25">
      <c r="A7" s="20">
        <v>65</v>
      </c>
      <c r="B7" s="28">
        <v>1</v>
      </c>
      <c r="C7" s="28">
        <v>0</v>
      </c>
      <c r="D7" s="28">
        <v>0</v>
      </c>
      <c r="E7" s="28">
        <v>0</v>
      </c>
      <c r="G7" s="28">
        <f>$B$1-SUM($B$3:B6)</f>
        <v>101</v>
      </c>
      <c r="H7" s="31">
        <f t="shared" si="2"/>
        <v>0.92660550458715596</v>
      </c>
      <c r="I7" s="28">
        <f>$C$1-SUM($C$3:C7)</f>
        <v>109</v>
      </c>
      <c r="J7" s="32">
        <f t="shared" si="3"/>
        <v>0.99090909090909096</v>
      </c>
      <c r="K7" s="33">
        <f>SUM(D$3:D7)</f>
        <v>1</v>
      </c>
      <c r="L7" s="32">
        <f t="shared" si="4"/>
        <v>8.9285714285714281E-3</v>
      </c>
      <c r="M7" s="33">
        <f>SUM($E$3:E7)</f>
        <v>1</v>
      </c>
      <c r="N7" s="32">
        <f t="shared" si="5"/>
        <v>9.1743119266055051E-3</v>
      </c>
      <c r="O7" s="13"/>
      <c r="P7" s="14">
        <f t="shared" si="6"/>
        <v>9.0909090909090384E-3</v>
      </c>
      <c r="Q7" s="14">
        <f t="shared" si="7"/>
        <v>0.9910714285714286</v>
      </c>
      <c r="S7" s="15">
        <f t="shared" si="8"/>
        <v>6.4220183486238536E-2</v>
      </c>
      <c r="T7" s="35">
        <f t="shared" si="0"/>
        <v>417431.19266055047</v>
      </c>
      <c r="U7" s="35">
        <f t="shared" si="1"/>
        <v>-224770.64220183488</v>
      </c>
    </row>
    <row r="8" spans="1:21" ht="12.75" customHeight="1" x14ac:dyDescent="0.25">
      <c r="A8" s="20">
        <v>78</v>
      </c>
      <c r="B8" s="28">
        <v>1</v>
      </c>
      <c r="C8" s="28">
        <v>0</v>
      </c>
      <c r="D8" s="28">
        <v>0</v>
      </c>
      <c r="E8" s="28">
        <v>0</v>
      </c>
      <c r="G8" s="28">
        <f>$B$1-SUM($B$3:B7)</f>
        <v>100</v>
      </c>
      <c r="H8" s="31">
        <f t="shared" si="2"/>
        <v>0.91743119266055051</v>
      </c>
      <c r="I8" s="28">
        <f>$C$1-SUM($C$3:C8)</f>
        <v>109</v>
      </c>
      <c r="J8" s="32">
        <f t="shared" si="3"/>
        <v>0.99090909090909096</v>
      </c>
      <c r="K8" s="33">
        <f>SUM(D$3:D8)</f>
        <v>1</v>
      </c>
      <c r="L8" s="32">
        <f t="shared" si="4"/>
        <v>8.9285714285714281E-3</v>
      </c>
      <c r="M8" s="33">
        <f>SUM($E$3:E8)</f>
        <v>1</v>
      </c>
      <c r="N8" s="32">
        <f t="shared" si="5"/>
        <v>9.1743119266055051E-3</v>
      </c>
      <c r="O8" s="13"/>
      <c r="P8" s="14">
        <f t="shared" si="6"/>
        <v>9.0909090909090384E-3</v>
      </c>
      <c r="Q8" s="14">
        <f t="shared" si="7"/>
        <v>0.9910714285714286</v>
      </c>
      <c r="S8" s="15">
        <f t="shared" si="8"/>
        <v>7.3394495412843985E-2</v>
      </c>
      <c r="T8" s="35">
        <f t="shared" si="0"/>
        <v>572477.06422018306</v>
      </c>
      <c r="U8" s="35">
        <f t="shared" si="1"/>
        <v>-161467.88990825677</v>
      </c>
    </row>
    <row r="9" spans="1:21" ht="12.75" customHeight="1" x14ac:dyDescent="0.25">
      <c r="A9" s="20">
        <v>80</v>
      </c>
      <c r="B9" s="28">
        <v>1</v>
      </c>
      <c r="C9" s="28">
        <v>0</v>
      </c>
      <c r="D9" s="28">
        <v>0</v>
      </c>
      <c r="E9" s="28">
        <v>0</v>
      </c>
      <c r="G9" s="28">
        <f>$B$1-SUM($B$3:B8)</f>
        <v>99</v>
      </c>
      <c r="H9" s="31">
        <f t="shared" si="2"/>
        <v>0.90825688073394495</v>
      </c>
      <c r="I9" s="28">
        <f>$C$1-SUM($C$3:C9)</f>
        <v>109</v>
      </c>
      <c r="J9" s="32">
        <f t="shared" si="3"/>
        <v>0.99090909090909096</v>
      </c>
      <c r="K9" s="33">
        <f>SUM(D$3:D9)</f>
        <v>1</v>
      </c>
      <c r="L9" s="32">
        <f t="shared" si="4"/>
        <v>8.9285714285714281E-3</v>
      </c>
      <c r="M9" s="33">
        <f>SUM($E$3:E9)</f>
        <v>1</v>
      </c>
      <c r="N9" s="32">
        <f t="shared" si="5"/>
        <v>9.1743119266055051E-3</v>
      </c>
      <c r="O9" s="13"/>
      <c r="P9" s="14">
        <f t="shared" si="6"/>
        <v>9.0909090909090384E-3</v>
      </c>
      <c r="Q9" s="14">
        <f t="shared" si="7"/>
        <v>0.9910714285714286</v>
      </c>
      <c r="S9" s="15">
        <f t="shared" si="8"/>
        <v>8.2568807339449546E-2</v>
      </c>
      <c r="T9" s="35">
        <f t="shared" si="0"/>
        <v>660550.45871559635</v>
      </c>
      <c r="U9" s="35">
        <f t="shared" si="1"/>
        <v>-165137.61467889909</v>
      </c>
    </row>
    <row r="10" spans="1:21" ht="12.75" customHeight="1" x14ac:dyDescent="0.25">
      <c r="A10" s="20">
        <v>98</v>
      </c>
      <c r="B10" s="28">
        <v>1</v>
      </c>
      <c r="C10" s="28">
        <v>0</v>
      </c>
      <c r="D10" s="28">
        <v>0</v>
      </c>
      <c r="E10" s="28">
        <v>0</v>
      </c>
      <c r="G10" s="28">
        <f>$B$1-SUM($B$3:B9)</f>
        <v>98</v>
      </c>
      <c r="H10" s="31">
        <f t="shared" si="2"/>
        <v>0.8990825688073395</v>
      </c>
      <c r="I10" s="28">
        <f>$C$1-SUM($C$3:C10)</f>
        <v>109</v>
      </c>
      <c r="J10" s="32">
        <f t="shared" si="3"/>
        <v>0.99090909090909096</v>
      </c>
      <c r="K10" s="33">
        <f>SUM(D$3:D10)</f>
        <v>1</v>
      </c>
      <c r="L10" s="32">
        <f t="shared" si="4"/>
        <v>8.9285714285714281E-3</v>
      </c>
      <c r="M10" s="33">
        <f>SUM($E$3:E10)</f>
        <v>1</v>
      </c>
      <c r="N10" s="32">
        <f t="shared" si="5"/>
        <v>9.1743119266055051E-3</v>
      </c>
      <c r="O10" s="13"/>
      <c r="P10" s="14">
        <f t="shared" si="6"/>
        <v>9.0909090909090384E-3</v>
      </c>
      <c r="Q10" s="14">
        <f t="shared" si="7"/>
        <v>0.9910714285714286</v>
      </c>
      <c r="S10" s="15">
        <f t="shared" si="8"/>
        <v>9.1743119266054995E-2</v>
      </c>
      <c r="T10" s="35">
        <f t="shared" si="0"/>
        <v>899082.56880733895</v>
      </c>
      <c r="U10" s="35">
        <f t="shared" si="1"/>
        <v>-18348.623853211</v>
      </c>
    </row>
    <row r="11" spans="1:21" ht="12.75" customHeight="1" x14ac:dyDescent="0.25">
      <c r="A11" s="20">
        <v>99</v>
      </c>
      <c r="B11" s="28">
        <v>6</v>
      </c>
      <c r="C11" s="28">
        <v>0</v>
      </c>
      <c r="D11" s="28">
        <v>0</v>
      </c>
      <c r="E11" s="28">
        <v>0</v>
      </c>
      <c r="G11" s="28">
        <f>$B$1-SUM($B$3:B10)</f>
        <v>97</v>
      </c>
      <c r="H11" s="31">
        <f t="shared" si="2"/>
        <v>0.88990825688073394</v>
      </c>
      <c r="I11" s="28">
        <f>$C$1-SUM($C$3:C11)</f>
        <v>109</v>
      </c>
      <c r="J11" s="32">
        <f t="shared" si="3"/>
        <v>0.99090909090909096</v>
      </c>
      <c r="K11" s="33">
        <f>SUM(D$3:D11)</f>
        <v>1</v>
      </c>
      <c r="L11" s="32">
        <f t="shared" si="4"/>
        <v>8.9285714285714281E-3</v>
      </c>
      <c r="M11" s="33">
        <f>SUM($E$3:E11)</f>
        <v>1</v>
      </c>
      <c r="N11" s="32">
        <f t="shared" si="5"/>
        <v>9.1743119266055051E-3</v>
      </c>
      <c r="O11" s="13"/>
      <c r="P11" s="14">
        <f t="shared" si="6"/>
        <v>9.0909090909090384E-3</v>
      </c>
      <c r="Q11" s="14">
        <f t="shared" si="7"/>
        <v>0.9910714285714286</v>
      </c>
      <c r="S11" s="15">
        <f t="shared" si="8"/>
        <v>0.10091743119266056</v>
      </c>
      <c r="T11" s="35">
        <f t="shared" si="0"/>
        <v>999082.56880733953</v>
      </c>
      <c r="U11" s="35">
        <f t="shared" si="1"/>
        <v>-10091.743119266055</v>
      </c>
    </row>
    <row r="12" spans="1:21" ht="12.75" customHeight="1" x14ac:dyDescent="0.25">
      <c r="A12" s="20">
        <v>100</v>
      </c>
      <c r="B12" s="28">
        <v>18</v>
      </c>
      <c r="C12" s="28">
        <v>1</v>
      </c>
      <c r="D12" s="28">
        <v>0</v>
      </c>
      <c r="E12" s="28">
        <v>1</v>
      </c>
      <c r="G12" s="28">
        <f>$B$1-SUM($B$3:B11)</f>
        <v>91</v>
      </c>
      <c r="H12" s="31">
        <f t="shared" si="2"/>
        <v>0.83486238532110091</v>
      </c>
      <c r="I12" s="28">
        <f>$C$1-SUM($C$3:C12)</f>
        <v>108</v>
      </c>
      <c r="J12" s="32">
        <f t="shared" si="3"/>
        <v>0.98181818181818181</v>
      </c>
      <c r="K12" s="33">
        <f>SUM(D$3:D12)</f>
        <v>1</v>
      </c>
      <c r="L12" s="32">
        <f t="shared" si="4"/>
        <v>8.9285714285714281E-3</v>
      </c>
      <c r="M12" s="33">
        <f>SUM($E$3:E12)</f>
        <v>2</v>
      </c>
      <c r="N12" s="32">
        <f t="shared" si="5"/>
        <v>1.834862385321101E-2</v>
      </c>
      <c r="O12" s="13"/>
      <c r="P12" s="14">
        <f t="shared" si="6"/>
        <v>1.8181818181818188E-2</v>
      </c>
      <c r="Q12" s="14">
        <f t="shared" si="7"/>
        <v>0.9910714285714286</v>
      </c>
      <c r="S12" s="15">
        <f t="shared" si="8"/>
        <v>0.14678899082568808</v>
      </c>
      <c r="T12" s="35">
        <f t="shared" si="0"/>
        <v>1467889.9082568807</v>
      </c>
      <c r="U12" s="35">
        <f t="shared" si="1"/>
        <v>0</v>
      </c>
    </row>
    <row r="13" spans="1:21" ht="12.75" customHeight="1" x14ac:dyDescent="0.25">
      <c r="A13" s="20">
        <v>120</v>
      </c>
      <c r="B13" s="28">
        <v>0</v>
      </c>
      <c r="C13" s="28">
        <v>2</v>
      </c>
      <c r="D13" s="28">
        <v>0</v>
      </c>
      <c r="E13" s="28">
        <v>0</v>
      </c>
      <c r="G13" s="28">
        <f>$B$1-SUM($B$3:B12)</f>
        <v>73</v>
      </c>
      <c r="H13" s="31">
        <f t="shared" si="2"/>
        <v>0.66972477064220182</v>
      </c>
      <c r="I13" s="28">
        <f>$C$1-SUM($C$3:C13)</f>
        <v>106</v>
      </c>
      <c r="J13" s="32">
        <f t="shared" si="3"/>
        <v>0.96363636363636362</v>
      </c>
      <c r="K13" s="33">
        <f>SUM(D$3:D13)</f>
        <v>1</v>
      </c>
      <c r="L13" s="32">
        <f t="shared" si="4"/>
        <v>8.9285714285714281E-3</v>
      </c>
      <c r="M13" s="33">
        <f>SUM($E$3:E13)</f>
        <v>2</v>
      </c>
      <c r="N13" s="32">
        <f t="shared" si="5"/>
        <v>1.834862385321101E-2</v>
      </c>
      <c r="O13" s="13"/>
      <c r="P13" s="14">
        <f t="shared" si="6"/>
        <v>3.6363636363636376E-2</v>
      </c>
      <c r="Q13" s="14">
        <f t="shared" si="7"/>
        <v>0.9910714285714286</v>
      </c>
      <c r="S13" s="15">
        <f t="shared" si="8"/>
        <v>0.31192660550458717</v>
      </c>
      <c r="T13" s="35">
        <f t="shared" si="0"/>
        <v>3743119.2660550461</v>
      </c>
      <c r="U13" s="35">
        <f t="shared" si="1"/>
        <v>623853.21100917435</v>
      </c>
    </row>
    <row r="14" spans="1:21" ht="12.75" customHeight="1" x14ac:dyDescent="0.25">
      <c r="A14" s="20">
        <v>129</v>
      </c>
      <c r="B14" s="28">
        <v>1</v>
      </c>
      <c r="C14" s="28">
        <v>0</v>
      </c>
      <c r="D14" s="28">
        <v>0</v>
      </c>
      <c r="E14" s="28">
        <v>0</v>
      </c>
      <c r="G14" s="28">
        <f>$B$1-SUM($B$3:B13)</f>
        <v>73</v>
      </c>
      <c r="H14" s="31">
        <f t="shared" si="2"/>
        <v>0.66972477064220182</v>
      </c>
      <c r="I14" s="28">
        <f>$C$1-SUM($C$3:C14)</f>
        <v>106</v>
      </c>
      <c r="J14" s="32">
        <f t="shared" si="3"/>
        <v>0.96363636363636362</v>
      </c>
      <c r="K14" s="33">
        <f>SUM(D$3:D14)</f>
        <v>1</v>
      </c>
      <c r="L14" s="32">
        <f t="shared" si="4"/>
        <v>8.9285714285714281E-3</v>
      </c>
      <c r="M14" s="33">
        <f>SUM($E$3:E14)</f>
        <v>2</v>
      </c>
      <c r="N14" s="32">
        <f t="shared" si="5"/>
        <v>1.834862385321101E-2</v>
      </c>
      <c r="O14" s="13"/>
      <c r="P14" s="14">
        <f t="shared" si="6"/>
        <v>3.6363636363636376E-2</v>
      </c>
      <c r="Q14" s="14">
        <f t="shared" si="7"/>
        <v>0.9910714285714286</v>
      </c>
      <c r="S14" s="15">
        <f t="shared" si="8"/>
        <v>0.31192660550458717</v>
      </c>
      <c r="T14" s="35">
        <f t="shared" si="0"/>
        <v>4023853.2110091746</v>
      </c>
      <c r="U14" s="35">
        <f t="shared" si="1"/>
        <v>904587.15596330282</v>
      </c>
    </row>
    <row r="15" spans="1:21" ht="12.75" customHeight="1" x14ac:dyDescent="0.25">
      <c r="A15" s="20">
        <v>130</v>
      </c>
      <c r="B15" s="28">
        <v>0</v>
      </c>
      <c r="C15" s="28">
        <v>1</v>
      </c>
      <c r="D15" s="28">
        <v>0</v>
      </c>
      <c r="E15" s="28">
        <v>0</v>
      </c>
      <c r="G15" s="28">
        <f>$B$1-SUM($B$3:B14)</f>
        <v>72</v>
      </c>
      <c r="H15" s="31">
        <f t="shared" si="2"/>
        <v>0.66055045871559637</v>
      </c>
      <c r="I15" s="28">
        <f>$C$1-SUM($C$3:C15)</f>
        <v>105</v>
      </c>
      <c r="J15" s="32">
        <f t="shared" si="3"/>
        <v>0.95454545454545459</v>
      </c>
      <c r="K15" s="33">
        <f>SUM(D$3:D15)</f>
        <v>1</v>
      </c>
      <c r="L15" s="32">
        <f t="shared" si="4"/>
        <v>8.9285714285714281E-3</v>
      </c>
      <c r="M15" s="33">
        <f>SUM($E$3:E15)</f>
        <v>2</v>
      </c>
      <c r="N15" s="32">
        <f t="shared" si="5"/>
        <v>1.834862385321101E-2</v>
      </c>
      <c r="O15" s="13"/>
      <c r="P15" s="14">
        <f t="shared" si="6"/>
        <v>4.5454545454545414E-2</v>
      </c>
      <c r="Q15" s="14">
        <f t="shared" si="7"/>
        <v>0.9910714285714286</v>
      </c>
      <c r="S15" s="15">
        <f t="shared" si="8"/>
        <v>0.32110091743119262</v>
      </c>
      <c r="T15" s="35">
        <f t="shared" si="0"/>
        <v>4174311.926605504</v>
      </c>
      <c r="U15" s="35">
        <f t="shared" si="1"/>
        <v>963302.75229357788</v>
      </c>
    </row>
    <row r="16" spans="1:21" ht="12.75" customHeight="1" x14ac:dyDescent="0.25">
      <c r="A16" s="20">
        <v>149</v>
      </c>
      <c r="B16" s="28">
        <v>4</v>
      </c>
      <c r="C16" s="28">
        <v>1</v>
      </c>
      <c r="D16" s="28">
        <v>0</v>
      </c>
      <c r="E16" s="28">
        <v>0</v>
      </c>
      <c r="G16" s="28">
        <f>$B$1-SUM($B$3:B15)</f>
        <v>72</v>
      </c>
      <c r="H16" s="31">
        <f t="shared" si="2"/>
        <v>0.66055045871559637</v>
      </c>
      <c r="I16" s="28">
        <f>$C$1-SUM($C$3:C16)</f>
        <v>104</v>
      </c>
      <c r="J16" s="32">
        <f t="shared" si="3"/>
        <v>0.94545454545454544</v>
      </c>
      <c r="K16" s="33">
        <f>SUM(D$3:D16)</f>
        <v>1</v>
      </c>
      <c r="L16" s="32">
        <f t="shared" si="4"/>
        <v>8.9285714285714281E-3</v>
      </c>
      <c r="M16" s="33">
        <f>SUM($E$3:E16)</f>
        <v>2</v>
      </c>
      <c r="N16" s="32">
        <f t="shared" si="5"/>
        <v>1.834862385321101E-2</v>
      </c>
      <c r="O16" s="13"/>
      <c r="P16" s="14">
        <f t="shared" si="6"/>
        <v>5.4545454545454564E-2</v>
      </c>
      <c r="Q16" s="14">
        <f t="shared" si="7"/>
        <v>0.9910714285714286</v>
      </c>
      <c r="S16" s="15">
        <f t="shared" si="8"/>
        <v>0.32110091743119262</v>
      </c>
      <c r="T16" s="35">
        <f t="shared" si="0"/>
        <v>4784403.6697247699</v>
      </c>
      <c r="U16" s="35">
        <f t="shared" si="1"/>
        <v>1573394.4954128438</v>
      </c>
    </row>
    <row r="17" spans="1:21" ht="12.75" customHeight="1" x14ac:dyDescent="0.25">
      <c r="A17" s="20">
        <v>150</v>
      </c>
      <c r="B17" s="28">
        <v>11</v>
      </c>
      <c r="C17" s="28">
        <v>4</v>
      </c>
      <c r="D17" s="28">
        <v>2</v>
      </c>
      <c r="E17" s="28">
        <v>0</v>
      </c>
      <c r="G17" s="28">
        <f>$B$1-SUM($B$3:B16)</f>
        <v>68</v>
      </c>
      <c r="H17" s="31">
        <f t="shared" si="2"/>
        <v>0.62385321100917435</v>
      </c>
      <c r="I17" s="28">
        <f>$C$1-SUM($C$3:C17)</f>
        <v>100</v>
      </c>
      <c r="J17" s="32">
        <f t="shared" si="3"/>
        <v>0.90909090909090906</v>
      </c>
      <c r="K17" s="33">
        <f>SUM(D$3:D17)</f>
        <v>3</v>
      </c>
      <c r="L17" s="32">
        <f t="shared" si="4"/>
        <v>2.6785714285714284E-2</v>
      </c>
      <c r="M17" s="33">
        <f>SUM($E$3:E17)</f>
        <v>2</v>
      </c>
      <c r="N17" s="32">
        <f t="shared" si="5"/>
        <v>1.834862385321101E-2</v>
      </c>
      <c r="O17" s="13"/>
      <c r="P17" s="14">
        <f t="shared" si="6"/>
        <v>9.0909090909090939E-2</v>
      </c>
      <c r="Q17" s="14">
        <f t="shared" si="7"/>
        <v>0.9732142857142857</v>
      </c>
      <c r="S17" s="15">
        <f t="shared" si="8"/>
        <v>0.35779816513761464</v>
      </c>
      <c r="T17" s="35">
        <f t="shared" si="0"/>
        <v>5366972.4770642193</v>
      </c>
      <c r="U17" s="35">
        <f t="shared" si="1"/>
        <v>1788990.8256880732</v>
      </c>
    </row>
    <row r="18" spans="1:21" ht="12.75" customHeight="1" x14ac:dyDescent="0.25">
      <c r="A18" s="20">
        <v>158</v>
      </c>
      <c r="B18" s="28">
        <v>0</v>
      </c>
      <c r="C18" s="28">
        <v>1</v>
      </c>
      <c r="D18" s="28">
        <v>0</v>
      </c>
      <c r="E18" s="28">
        <v>0</v>
      </c>
      <c r="G18" s="28">
        <f>$B$1-SUM($B$3:B17)</f>
        <v>57</v>
      </c>
      <c r="H18" s="31">
        <f t="shared" si="2"/>
        <v>0.52293577981651373</v>
      </c>
      <c r="I18" s="28">
        <f>$C$1-SUM($C$3:C18)</f>
        <v>99</v>
      </c>
      <c r="J18" s="32">
        <f t="shared" si="3"/>
        <v>0.9</v>
      </c>
      <c r="K18" s="33">
        <f>SUM(D$3:D18)</f>
        <v>3</v>
      </c>
      <c r="L18" s="32">
        <f t="shared" si="4"/>
        <v>2.6785714285714284E-2</v>
      </c>
      <c r="M18" s="33">
        <f>SUM($E$3:E18)</f>
        <v>2</v>
      </c>
      <c r="N18" s="32">
        <f t="shared" si="5"/>
        <v>1.834862385321101E-2</v>
      </c>
      <c r="O18" s="13"/>
      <c r="P18" s="14">
        <f t="shared" si="6"/>
        <v>9.9999999999999978E-2</v>
      </c>
      <c r="Q18" s="14">
        <f t="shared" si="7"/>
        <v>0.9732142857142857</v>
      </c>
      <c r="S18" s="15">
        <f t="shared" si="8"/>
        <v>0.45871559633027525</v>
      </c>
      <c r="T18" s="35">
        <f t="shared" si="0"/>
        <v>7247706.4220183492</v>
      </c>
      <c r="U18" s="35">
        <f t="shared" si="1"/>
        <v>2660550.4587155967</v>
      </c>
    </row>
    <row r="19" spans="1:21" ht="12.75" customHeight="1" x14ac:dyDescent="0.25">
      <c r="A19" s="20">
        <v>159</v>
      </c>
      <c r="B19" s="28">
        <v>0</v>
      </c>
      <c r="C19" s="28">
        <v>1</v>
      </c>
      <c r="D19" s="28">
        <v>0</v>
      </c>
      <c r="E19" s="28">
        <v>0</v>
      </c>
      <c r="G19" s="28">
        <f>$B$1-SUM($B$3:B18)</f>
        <v>57</v>
      </c>
      <c r="H19" s="31">
        <f t="shared" si="2"/>
        <v>0.52293577981651373</v>
      </c>
      <c r="I19" s="28">
        <f>$C$1-SUM($C$3:C19)</f>
        <v>98</v>
      </c>
      <c r="J19" s="32">
        <f t="shared" si="3"/>
        <v>0.89090909090909087</v>
      </c>
      <c r="K19" s="33">
        <f>SUM(D$3:D19)</f>
        <v>3</v>
      </c>
      <c r="L19" s="32">
        <f t="shared" si="4"/>
        <v>2.6785714285714284E-2</v>
      </c>
      <c r="M19" s="33">
        <f>SUM($E$3:E19)</f>
        <v>2</v>
      </c>
      <c r="N19" s="32">
        <f t="shared" si="5"/>
        <v>1.834862385321101E-2</v>
      </c>
      <c r="O19" s="13"/>
      <c r="P19" s="14">
        <f t="shared" si="6"/>
        <v>0.10909090909090913</v>
      </c>
      <c r="Q19" s="14">
        <f t="shared" si="7"/>
        <v>0.9732142857142857</v>
      </c>
      <c r="S19" s="15">
        <f t="shared" si="8"/>
        <v>0.45871559633027525</v>
      </c>
      <c r="T19" s="35">
        <f t="shared" si="0"/>
        <v>7293577.9816513769</v>
      </c>
      <c r="U19" s="35">
        <f t="shared" si="1"/>
        <v>2706422.018348624</v>
      </c>
    </row>
    <row r="20" spans="1:21" ht="12.75" customHeight="1" x14ac:dyDescent="0.25">
      <c r="A20" s="20">
        <v>170</v>
      </c>
      <c r="B20" s="28">
        <v>0</v>
      </c>
      <c r="C20" s="28">
        <v>1</v>
      </c>
      <c r="D20" s="28">
        <v>0</v>
      </c>
      <c r="E20" s="28">
        <v>0</v>
      </c>
      <c r="G20" s="28">
        <f>$B$1-SUM($B$3:B19)</f>
        <v>57</v>
      </c>
      <c r="H20" s="31">
        <f t="shared" si="2"/>
        <v>0.52293577981651373</v>
      </c>
      <c r="I20" s="28">
        <f>$C$1-SUM($C$3:C20)</f>
        <v>97</v>
      </c>
      <c r="J20" s="32">
        <f t="shared" si="3"/>
        <v>0.88181818181818183</v>
      </c>
      <c r="K20" s="33">
        <f>SUM(D$3:D20)</f>
        <v>3</v>
      </c>
      <c r="L20" s="32">
        <f t="shared" si="4"/>
        <v>2.6785714285714284E-2</v>
      </c>
      <c r="M20" s="33">
        <f>SUM($E$3:E20)</f>
        <v>2</v>
      </c>
      <c r="N20" s="32">
        <f t="shared" si="5"/>
        <v>1.834862385321101E-2</v>
      </c>
      <c r="O20" s="13"/>
      <c r="P20" s="14">
        <f t="shared" si="6"/>
        <v>0.11818181818181817</v>
      </c>
      <c r="Q20" s="14">
        <f t="shared" si="7"/>
        <v>0.9732142857142857</v>
      </c>
      <c r="S20" s="15">
        <f t="shared" si="8"/>
        <v>0.45871559633027525</v>
      </c>
      <c r="T20" s="35">
        <f t="shared" si="0"/>
        <v>7798165.1376146795</v>
      </c>
      <c r="U20" s="35">
        <f t="shared" si="1"/>
        <v>3211009.1743119266</v>
      </c>
    </row>
    <row r="21" spans="1:21" ht="12.75" customHeight="1" x14ac:dyDescent="0.25">
      <c r="A21" s="20">
        <v>179</v>
      </c>
      <c r="B21" s="28">
        <v>0</v>
      </c>
      <c r="C21" s="28">
        <v>1</v>
      </c>
      <c r="D21" s="28">
        <v>0</v>
      </c>
      <c r="E21" s="28">
        <v>0</v>
      </c>
      <c r="G21" s="28">
        <f>$B$1-SUM($B$3:B20)</f>
        <v>57</v>
      </c>
      <c r="H21" s="31">
        <f t="shared" si="2"/>
        <v>0.52293577981651373</v>
      </c>
      <c r="I21" s="28">
        <f>$C$1-SUM($C$3:C21)</f>
        <v>96</v>
      </c>
      <c r="J21" s="32">
        <f t="shared" si="3"/>
        <v>0.87272727272727268</v>
      </c>
      <c r="K21" s="33">
        <f>SUM(D$3:D21)</f>
        <v>3</v>
      </c>
      <c r="L21" s="32">
        <f t="shared" si="4"/>
        <v>2.6785714285714284E-2</v>
      </c>
      <c r="M21" s="33">
        <f>SUM($E$3:E21)</f>
        <v>2</v>
      </c>
      <c r="N21" s="32">
        <f t="shared" si="5"/>
        <v>1.834862385321101E-2</v>
      </c>
      <c r="O21" s="13"/>
      <c r="P21" s="14">
        <f t="shared" si="6"/>
        <v>0.12727272727272732</v>
      </c>
      <c r="Q21" s="14">
        <f t="shared" si="7"/>
        <v>0.9732142857142857</v>
      </c>
      <c r="S21" s="15">
        <f t="shared" si="8"/>
        <v>0.45871559633027525</v>
      </c>
      <c r="T21" s="35">
        <f t="shared" si="0"/>
        <v>8211009.1743119275</v>
      </c>
      <c r="U21" s="35">
        <f t="shared" si="1"/>
        <v>3623853.2110091746</v>
      </c>
    </row>
    <row r="22" spans="1:21" ht="12.75" customHeight="1" x14ac:dyDescent="0.25">
      <c r="A22" s="20">
        <v>183</v>
      </c>
      <c r="B22" s="28">
        <v>1</v>
      </c>
      <c r="C22" s="28">
        <v>0</v>
      </c>
      <c r="D22" s="28">
        <v>0</v>
      </c>
      <c r="E22" s="28">
        <v>0</v>
      </c>
      <c r="G22" s="28">
        <f>$B$1-SUM($B$3:B21)</f>
        <v>57</v>
      </c>
      <c r="H22" s="31">
        <f t="shared" si="2"/>
        <v>0.52293577981651373</v>
      </c>
      <c r="I22" s="28">
        <f>$C$1-SUM($C$3:C22)</f>
        <v>96</v>
      </c>
      <c r="J22" s="32">
        <f t="shared" si="3"/>
        <v>0.87272727272727268</v>
      </c>
      <c r="K22" s="33">
        <f>SUM(D$3:D22)</f>
        <v>3</v>
      </c>
      <c r="L22" s="32">
        <f t="shared" si="4"/>
        <v>2.6785714285714284E-2</v>
      </c>
      <c r="M22" s="33">
        <f>SUM($E$3:E22)</f>
        <v>2</v>
      </c>
      <c r="N22" s="32">
        <f t="shared" si="5"/>
        <v>1.834862385321101E-2</v>
      </c>
      <c r="O22" s="13"/>
      <c r="P22" s="14">
        <f t="shared" si="6"/>
        <v>0.12727272727272732</v>
      </c>
      <c r="Q22" s="14">
        <f t="shared" si="7"/>
        <v>0.9732142857142857</v>
      </c>
      <c r="S22" s="15">
        <f t="shared" si="8"/>
        <v>0.45871559633027525</v>
      </c>
      <c r="T22" s="35">
        <f t="shared" si="0"/>
        <v>8394495.4128440376</v>
      </c>
      <c r="U22" s="35">
        <f t="shared" si="1"/>
        <v>3807339.4495412847</v>
      </c>
    </row>
    <row r="23" spans="1:21" ht="12.75" customHeight="1" x14ac:dyDescent="0.25">
      <c r="A23" s="20">
        <v>190</v>
      </c>
      <c r="B23" s="28">
        <v>1</v>
      </c>
      <c r="C23" s="28">
        <v>0</v>
      </c>
      <c r="D23" s="28">
        <v>0</v>
      </c>
      <c r="E23" s="28">
        <v>0</v>
      </c>
      <c r="G23" s="28">
        <f>$B$1-SUM($B$3:B22)</f>
        <v>56</v>
      </c>
      <c r="H23" s="31">
        <f t="shared" si="2"/>
        <v>0.51376146788990829</v>
      </c>
      <c r="I23" s="28">
        <f>$C$1-SUM($C$3:C23)</f>
        <v>96</v>
      </c>
      <c r="J23" s="32">
        <f t="shared" si="3"/>
        <v>0.87272727272727268</v>
      </c>
      <c r="K23" s="33">
        <f>SUM(D$3:D23)</f>
        <v>3</v>
      </c>
      <c r="L23" s="32">
        <f t="shared" si="4"/>
        <v>2.6785714285714284E-2</v>
      </c>
      <c r="M23" s="33">
        <f>SUM($E$3:E23)</f>
        <v>2</v>
      </c>
      <c r="N23" s="32">
        <f t="shared" si="5"/>
        <v>1.834862385321101E-2</v>
      </c>
      <c r="O23" s="13"/>
      <c r="P23" s="14">
        <f t="shared" si="6"/>
        <v>0.12727272727272732</v>
      </c>
      <c r="Q23" s="14">
        <f t="shared" si="7"/>
        <v>0.9732142857142857</v>
      </c>
      <c r="S23" s="15">
        <f t="shared" si="8"/>
        <v>0.4678899082568807</v>
      </c>
      <c r="T23" s="35">
        <f t="shared" si="0"/>
        <v>8889908.2568807341</v>
      </c>
      <c r="U23" s="35">
        <f t="shared" si="1"/>
        <v>4211009.1743119266</v>
      </c>
    </row>
    <row r="24" spans="1:21" ht="12.75" customHeight="1" x14ac:dyDescent="0.25">
      <c r="A24" s="20">
        <v>198</v>
      </c>
      <c r="B24" s="28">
        <v>0</v>
      </c>
      <c r="C24" s="28">
        <v>0</v>
      </c>
      <c r="D24" s="28">
        <v>1</v>
      </c>
      <c r="E24" s="28">
        <v>0</v>
      </c>
      <c r="G24" s="28">
        <f>$B$1-SUM($B$3:B23)</f>
        <v>55</v>
      </c>
      <c r="H24" s="31">
        <f t="shared" si="2"/>
        <v>0.50458715596330272</v>
      </c>
      <c r="I24" s="28">
        <f>$C$1-SUM($C$3:C24)</f>
        <v>96</v>
      </c>
      <c r="J24" s="32">
        <f t="shared" si="3"/>
        <v>0.87272727272727268</v>
      </c>
      <c r="K24" s="33">
        <f>SUM(D$3:D24)</f>
        <v>4</v>
      </c>
      <c r="L24" s="32">
        <f t="shared" si="4"/>
        <v>3.5714285714285712E-2</v>
      </c>
      <c r="M24" s="33">
        <f>SUM($E$3:E24)</f>
        <v>2</v>
      </c>
      <c r="N24" s="32">
        <f t="shared" si="5"/>
        <v>1.834862385321101E-2</v>
      </c>
      <c r="O24" s="13"/>
      <c r="P24" s="14">
        <f t="shared" si="6"/>
        <v>0.12727272727272732</v>
      </c>
      <c r="Q24" s="14">
        <f t="shared" si="7"/>
        <v>0.9642857142857143</v>
      </c>
      <c r="S24" s="15">
        <f t="shared" si="8"/>
        <v>0.47706422018348627</v>
      </c>
      <c r="T24" s="35">
        <f t="shared" si="0"/>
        <v>9445871.5596330278</v>
      </c>
      <c r="U24" s="35">
        <f t="shared" si="1"/>
        <v>4675229.3577981656</v>
      </c>
    </row>
    <row r="25" spans="1:21" ht="12.75" customHeight="1" x14ac:dyDescent="0.25">
      <c r="A25" s="20">
        <v>199</v>
      </c>
      <c r="B25" s="28">
        <v>15</v>
      </c>
      <c r="C25" s="28">
        <v>4</v>
      </c>
      <c r="D25" s="28">
        <v>2</v>
      </c>
      <c r="E25" s="28">
        <v>0</v>
      </c>
      <c r="G25" s="28">
        <f>$B$1-SUM($B$3:B24)</f>
        <v>55</v>
      </c>
      <c r="H25" s="31">
        <f t="shared" si="2"/>
        <v>0.50458715596330272</v>
      </c>
      <c r="I25" s="28">
        <f>$C$1-SUM($C$3:C25)</f>
        <v>92</v>
      </c>
      <c r="J25" s="32">
        <f t="shared" si="3"/>
        <v>0.83636363636363631</v>
      </c>
      <c r="K25" s="33">
        <f>SUM(D$3:D25)</f>
        <v>6</v>
      </c>
      <c r="L25" s="32">
        <f t="shared" si="4"/>
        <v>5.3571428571428568E-2</v>
      </c>
      <c r="M25" s="33">
        <f>SUM($E$3:E25)</f>
        <v>2</v>
      </c>
      <c r="N25" s="32">
        <f t="shared" si="5"/>
        <v>1.834862385321101E-2</v>
      </c>
      <c r="O25" s="13"/>
      <c r="P25" s="14">
        <f t="shared" si="6"/>
        <v>0.16363636363636369</v>
      </c>
      <c r="Q25" s="14">
        <f t="shared" si="7"/>
        <v>0.9464285714285714</v>
      </c>
      <c r="S25" s="15">
        <f t="shared" si="8"/>
        <v>0.47706422018348627</v>
      </c>
      <c r="T25" s="35">
        <f t="shared" si="0"/>
        <v>9493577.9816513769</v>
      </c>
      <c r="U25" s="35">
        <f t="shared" si="1"/>
        <v>4722935.7798165139</v>
      </c>
    </row>
    <row r="26" spans="1:21" ht="12.75" customHeight="1" x14ac:dyDescent="0.25">
      <c r="A26" s="20">
        <v>200</v>
      </c>
      <c r="B26" s="28">
        <v>16</v>
      </c>
      <c r="C26" s="28">
        <v>14</v>
      </c>
      <c r="D26" s="28">
        <v>2</v>
      </c>
      <c r="E26" s="28">
        <v>1</v>
      </c>
      <c r="G26" s="28">
        <f>$B$1-SUM($B$3:B25)</f>
        <v>40</v>
      </c>
      <c r="H26" s="31">
        <f t="shared" si="2"/>
        <v>0.3669724770642202</v>
      </c>
      <c r="I26" s="28">
        <f>$C$1-SUM($C$3:C26)</f>
        <v>78</v>
      </c>
      <c r="J26" s="32">
        <f t="shared" si="3"/>
        <v>0.70909090909090911</v>
      </c>
      <c r="K26" s="33">
        <f>SUM(D$3:D26)</f>
        <v>8</v>
      </c>
      <c r="L26" s="32">
        <f t="shared" si="4"/>
        <v>7.1428571428571425E-2</v>
      </c>
      <c r="M26" s="33">
        <f>SUM($E$3:E26)</f>
        <v>3</v>
      </c>
      <c r="N26" s="32">
        <f t="shared" si="5"/>
        <v>2.7522935779816515E-2</v>
      </c>
      <c r="O26" s="13"/>
      <c r="P26" s="14">
        <f t="shared" si="6"/>
        <v>0.29090909090909089</v>
      </c>
      <c r="Q26" s="14">
        <f t="shared" si="7"/>
        <v>0.9285714285714286</v>
      </c>
      <c r="S26" s="15">
        <f t="shared" si="8"/>
        <v>0.60550458715596323</v>
      </c>
      <c r="T26" s="35">
        <f t="shared" si="0"/>
        <v>12110091.743119264</v>
      </c>
      <c r="U26" s="35">
        <f t="shared" si="1"/>
        <v>6055045.871559632</v>
      </c>
    </row>
    <row r="27" spans="1:21" ht="12.75" customHeight="1" x14ac:dyDescent="0.25">
      <c r="A27" s="20">
        <v>220</v>
      </c>
      <c r="B27" s="28">
        <v>0</v>
      </c>
      <c r="C27" s="28">
        <v>1</v>
      </c>
      <c r="D27" s="28">
        <v>0</v>
      </c>
      <c r="E27" s="28">
        <v>0</v>
      </c>
      <c r="G27" s="28">
        <f>$B$1-SUM($B$3:B26)</f>
        <v>24</v>
      </c>
      <c r="H27" s="31">
        <f t="shared" si="2"/>
        <v>0.22018348623853212</v>
      </c>
      <c r="I27" s="28">
        <f>$C$1-SUM($C$3:C27)</f>
        <v>77</v>
      </c>
      <c r="J27" s="32">
        <f t="shared" si="3"/>
        <v>0.7</v>
      </c>
      <c r="K27" s="33">
        <f>SUM(D$3:D27)</f>
        <v>8</v>
      </c>
      <c r="L27" s="32">
        <f t="shared" si="4"/>
        <v>7.1428571428571425E-2</v>
      </c>
      <c r="M27" s="33">
        <f>SUM($E$3:E27)</f>
        <v>3</v>
      </c>
      <c r="N27" s="32">
        <f t="shared" si="5"/>
        <v>2.7522935779816515E-2</v>
      </c>
      <c r="O27" s="13"/>
      <c r="P27" s="14">
        <f t="shared" si="6"/>
        <v>0.30000000000000004</v>
      </c>
      <c r="Q27" s="14">
        <f t="shared" si="7"/>
        <v>0.9285714285714286</v>
      </c>
      <c r="S27" s="15">
        <f t="shared" si="8"/>
        <v>0.75229357798165131</v>
      </c>
      <c r="T27" s="35">
        <f t="shared" si="0"/>
        <v>16550458.715596329</v>
      </c>
      <c r="U27" s="35">
        <f t="shared" si="1"/>
        <v>9027522.9357798155</v>
      </c>
    </row>
    <row r="28" spans="1:21" ht="12.75" customHeight="1" x14ac:dyDescent="0.25">
      <c r="A28" s="20">
        <v>233</v>
      </c>
      <c r="B28" s="28">
        <v>1</v>
      </c>
      <c r="C28" s="28">
        <v>0</v>
      </c>
      <c r="D28" s="28">
        <v>0</v>
      </c>
      <c r="E28" s="28">
        <v>0</v>
      </c>
      <c r="G28" s="28">
        <f>$B$1-SUM($B$3:B27)</f>
        <v>24</v>
      </c>
      <c r="H28" s="31">
        <f t="shared" si="2"/>
        <v>0.22018348623853212</v>
      </c>
      <c r="I28" s="28">
        <f>$C$1-SUM($C$3:C28)</f>
        <v>77</v>
      </c>
      <c r="J28" s="32">
        <f t="shared" si="3"/>
        <v>0.7</v>
      </c>
      <c r="K28" s="33">
        <f>SUM(D$3:D28)</f>
        <v>8</v>
      </c>
      <c r="L28" s="32">
        <f t="shared" si="4"/>
        <v>7.1428571428571425E-2</v>
      </c>
      <c r="M28" s="33">
        <f>SUM($E$3:E28)</f>
        <v>3</v>
      </c>
      <c r="N28" s="32">
        <f t="shared" si="5"/>
        <v>2.7522935779816515E-2</v>
      </c>
      <c r="O28" s="13"/>
      <c r="P28" s="14">
        <f t="shared" si="6"/>
        <v>0.30000000000000004</v>
      </c>
      <c r="Q28" s="14">
        <f t="shared" si="7"/>
        <v>0.9285714285714286</v>
      </c>
      <c r="S28" s="15">
        <f t="shared" si="8"/>
        <v>0.75229357798165131</v>
      </c>
      <c r="T28" s="35">
        <f t="shared" si="0"/>
        <v>17528440.366972476</v>
      </c>
      <c r="U28" s="35">
        <f t="shared" si="1"/>
        <v>10005504.587155962</v>
      </c>
    </row>
    <row r="29" spans="1:21" ht="12.75" customHeight="1" x14ac:dyDescent="0.25">
      <c r="A29" s="20">
        <v>239</v>
      </c>
      <c r="B29" s="28">
        <v>0</v>
      </c>
      <c r="C29" s="28">
        <v>0</v>
      </c>
      <c r="D29" s="28">
        <v>0</v>
      </c>
      <c r="E29" s="28">
        <v>1</v>
      </c>
      <c r="G29" s="28">
        <f>$B$1-SUM($B$3:B28)</f>
        <v>23</v>
      </c>
      <c r="H29" s="31">
        <f t="shared" si="2"/>
        <v>0.21100917431192662</v>
      </c>
      <c r="I29" s="28">
        <f>$C$1-SUM($C$3:C29)</f>
        <v>77</v>
      </c>
      <c r="J29" s="32">
        <f t="shared" si="3"/>
        <v>0.7</v>
      </c>
      <c r="K29" s="33">
        <f>SUM(D$3:D29)</f>
        <v>8</v>
      </c>
      <c r="L29" s="32">
        <f t="shared" si="4"/>
        <v>7.1428571428571425E-2</v>
      </c>
      <c r="M29" s="33">
        <f>SUM($E$3:E29)</f>
        <v>4</v>
      </c>
      <c r="N29" s="32">
        <f t="shared" si="5"/>
        <v>3.669724770642202E-2</v>
      </c>
      <c r="O29" s="13"/>
      <c r="P29" s="14">
        <f t="shared" si="6"/>
        <v>0.30000000000000004</v>
      </c>
      <c r="Q29" s="14">
        <f t="shared" si="7"/>
        <v>0.9285714285714286</v>
      </c>
      <c r="S29" s="15">
        <f t="shared" si="8"/>
        <v>0.75229357798165131</v>
      </c>
      <c r="T29" s="35">
        <f t="shared" si="0"/>
        <v>17979816.513761465</v>
      </c>
      <c r="U29" s="35">
        <f t="shared" si="1"/>
        <v>10456880.733944952</v>
      </c>
    </row>
    <row r="30" spans="1:21" ht="12.75" customHeight="1" x14ac:dyDescent="0.25">
      <c r="A30" s="20">
        <v>240</v>
      </c>
      <c r="B30" s="28">
        <v>0</v>
      </c>
      <c r="C30" s="28">
        <v>1</v>
      </c>
      <c r="D30" s="28">
        <v>1</v>
      </c>
      <c r="E30" s="28">
        <v>0</v>
      </c>
      <c r="G30" s="28">
        <f>$B$1-SUM($B$3:B29)</f>
        <v>23</v>
      </c>
      <c r="H30" s="31">
        <f t="shared" si="2"/>
        <v>0.21100917431192662</v>
      </c>
      <c r="I30" s="28">
        <f>$C$1-SUM($C$3:C30)</f>
        <v>76</v>
      </c>
      <c r="J30" s="32">
        <f t="shared" si="3"/>
        <v>0.69090909090909092</v>
      </c>
      <c r="K30" s="33">
        <f>SUM(D$3:D30)</f>
        <v>9</v>
      </c>
      <c r="L30" s="32">
        <f t="shared" si="4"/>
        <v>8.0357142857142863E-2</v>
      </c>
      <c r="M30" s="33">
        <f>SUM($E$3:E30)</f>
        <v>4</v>
      </c>
      <c r="N30" s="32">
        <f t="shared" si="5"/>
        <v>3.669724770642202E-2</v>
      </c>
      <c r="O30" s="13"/>
      <c r="P30" s="14">
        <f t="shared" si="6"/>
        <v>0.30909090909090908</v>
      </c>
      <c r="Q30" s="14">
        <f t="shared" si="7"/>
        <v>0.9196428571428571</v>
      </c>
      <c r="S30" s="15">
        <f t="shared" si="8"/>
        <v>0.75229357798165131</v>
      </c>
      <c r="T30" s="35">
        <f t="shared" si="0"/>
        <v>18055045.871559631</v>
      </c>
      <c r="U30" s="35">
        <f t="shared" si="1"/>
        <v>10532110.091743119</v>
      </c>
    </row>
    <row r="31" spans="1:21" ht="12.75" customHeight="1" x14ac:dyDescent="0.25">
      <c r="A31" s="20">
        <v>249</v>
      </c>
      <c r="B31" s="28">
        <v>2</v>
      </c>
      <c r="C31" s="28">
        <v>6</v>
      </c>
      <c r="D31" s="28">
        <v>3</v>
      </c>
      <c r="E31" s="28">
        <v>1</v>
      </c>
      <c r="G31" s="28">
        <f>$B$1-SUM($B$3:B30)</f>
        <v>23</v>
      </c>
      <c r="H31" s="31">
        <f t="shared" si="2"/>
        <v>0.21100917431192662</v>
      </c>
      <c r="I31" s="28">
        <f>$C$1-SUM($C$3:C31)</f>
        <v>70</v>
      </c>
      <c r="J31" s="32">
        <f t="shared" si="3"/>
        <v>0.63636363636363635</v>
      </c>
      <c r="K31" s="33">
        <f>SUM(D$3:D31)</f>
        <v>12</v>
      </c>
      <c r="L31" s="32">
        <f t="shared" si="4"/>
        <v>0.10714285714285714</v>
      </c>
      <c r="M31" s="33">
        <f>SUM($E$3:E31)</f>
        <v>5</v>
      </c>
      <c r="N31" s="32">
        <f t="shared" si="5"/>
        <v>4.5871559633027525E-2</v>
      </c>
      <c r="O31" s="13"/>
      <c r="P31" s="14">
        <f t="shared" si="6"/>
        <v>0.36363636363636365</v>
      </c>
      <c r="Q31" s="14">
        <f t="shared" si="7"/>
        <v>0.8928571428571429</v>
      </c>
      <c r="S31" s="15">
        <f t="shared" si="8"/>
        <v>0.74311926605504586</v>
      </c>
      <c r="T31" s="35">
        <f t="shared" si="0"/>
        <v>18503669.724770643</v>
      </c>
      <c r="U31" s="35">
        <f t="shared" si="1"/>
        <v>11072477.064220183</v>
      </c>
    </row>
    <row r="32" spans="1:21" ht="12.75" customHeight="1" x14ac:dyDescent="0.25">
      <c r="A32" s="20">
        <v>250</v>
      </c>
      <c r="B32" s="28">
        <v>5</v>
      </c>
      <c r="C32" s="28">
        <v>16</v>
      </c>
      <c r="D32" s="28">
        <v>7</v>
      </c>
      <c r="E32" s="28">
        <v>1</v>
      </c>
      <c r="G32" s="28">
        <f>$B$1-SUM($B$3:B31)</f>
        <v>21</v>
      </c>
      <c r="H32" s="31">
        <f t="shared" si="2"/>
        <v>0.19266055045871561</v>
      </c>
      <c r="I32" s="28">
        <f>$C$1-SUM($C$3:C32)</f>
        <v>54</v>
      </c>
      <c r="J32" s="32">
        <f t="shared" si="3"/>
        <v>0.49090909090909091</v>
      </c>
      <c r="K32" s="33">
        <f>SUM(D$3:D32)</f>
        <v>19</v>
      </c>
      <c r="L32" s="32">
        <f t="shared" si="4"/>
        <v>0.16964285714285715</v>
      </c>
      <c r="M32" s="33">
        <f>SUM($E$3:E32)</f>
        <v>6</v>
      </c>
      <c r="N32" s="32">
        <f t="shared" si="5"/>
        <v>5.5045871559633031E-2</v>
      </c>
      <c r="O32" s="13"/>
      <c r="P32" s="14">
        <f t="shared" si="6"/>
        <v>0.50909090909090904</v>
      </c>
      <c r="Q32" s="14">
        <f t="shared" si="7"/>
        <v>0.83035714285714279</v>
      </c>
      <c r="S32" s="15">
        <f t="shared" si="8"/>
        <v>0.75229357798165142</v>
      </c>
      <c r="T32" s="35">
        <f t="shared" si="0"/>
        <v>18807339.449541286</v>
      </c>
      <c r="U32" s="35">
        <f t="shared" si="1"/>
        <v>11284403.669724772</v>
      </c>
    </row>
    <row r="33" spans="1:21" ht="12.75" customHeight="1" x14ac:dyDescent="0.25">
      <c r="A33" s="20">
        <v>259</v>
      </c>
      <c r="B33" s="28">
        <v>0</v>
      </c>
      <c r="C33" s="28">
        <v>0</v>
      </c>
      <c r="D33" s="28">
        <v>2</v>
      </c>
      <c r="E33" s="28">
        <v>0</v>
      </c>
      <c r="G33" s="28">
        <f>$B$1-SUM($B$3:B32)</f>
        <v>16</v>
      </c>
      <c r="H33" s="31">
        <f t="shared" si="2"/>
        <v>0.14678899082568808</v>
      </c>
      <c r="I33" s="28">
        <f>$C$1-SUM($C$3:C33)</f>
        <v>54</v>
      </c>
      <c r="J33" s="32">
        <f t="shared" si="3"/>
        <v>0.49090909090909091</v>
      </c>
      <c r="K33" s="33">
        <f>SUM(D$3:D33)</f>
        <v>21</v>
      </c>
      <c r="L33" s="32">
        <f t="shared" si="4"/>
        <v>0.1875</v>
      </c>
      <c r="M33" s="33">
        <f>SUM($E$3:E33)</f>
        <v>6</v>
      </c>
      <c r="N33" s="32">
        <f t="shared" si="5"/>
        <v>5.5045871559633031E-2</v>
      </c>
      <c r="O33" s="13"/>
      <c r="P33" s="14">
        <f t="shared" si="6"/>
        <v>0.50909090909090904</v>
      </c>
      <c r="Q33" s="14">
        <f t="shared" si="7"/>
        <v>0.8125</v>
      </c>
      <c r="S33" s="15">
        <f t="shared" si="8"/>
        <v>0.79816513761467889</v>
      </c>
      <c r="T33" s="35">
        <f t="shared" si="0"/>
        <v>20672477.064220183</v>
      </c>
      <c r="U33" s="35">
        <f t="shared" si="1"/>
        <v>12690825.688073395</v>
      </c>
    </row>
    <row r="34" spans="1:21" ht="12.75" customHeight="1" x14ac:dyDescent="0.25">
      <c r="A34" s="20">
        <v>260</v>
      </c>
      <c r="B34" s="28">
        <v>0</v>
      </c>
      <c r="C34" s="28">
        <v>0</v>
      </c>
      <c r="D34" s="28">
        <v>0</v>
      </c>
      <c r="E34" s="28">
        <v>1</v>
      </c>
      <c r="G34" s="28">
        <f>$B$1-SUM($B$3:B33)</f>
        <v>16</v>
      </c>
      <c r="H34" s="31">
        <f t="shared" si="2"/>
        <v>0.14678899082568808</v>
      </c>
      <c r="I34" s="28">
        <f>$C$1-SUM($C$3:C34)</f>
        <v>54</v>
      </c>
      <c r="J34" s="32">
        <f t="shared" si="3"/>
        <v>0.49090909090909091</v>
      </c>
      <c r="K34" s="33">
        <f>SUM(D$3:D34)</f>
        <v>21</v>
      </c>
      <c r="L34" s="32">
        <f t="shared" si="4"/>
        <v>0.1875</v>
      </c>
      <c r="M34" s="33">
        <f>SUM($E$3:E34)</f>
        <v>7</v>
      </c>
      <c r="N34" s="32">
        <f t="shared" si="5"/>
        <v>6.4220183486238536E-2</v>
      </c>
      <c r="O34" s="13"/>
      <c r="P34" s="14">
        <f t="shared" si="6"/>
        <v>0.50909090909090904</v>
      </c>
      <c r="Q34" s="14">
        <f t="shared" si="7"/>
        <v>0.8125</v>
      </c>
      <c r="S34" s="15">
        <f t="shared" si="8"/>
        <v>0.78899082568807333</v>
      </c>
      <c r="T34" s="35">
        <f t="shared" si="0"/>
        <v>20513761.467889905</v>
      </c>
      <c r="U34" s="35">
        <f t="shared" si="1"/>
        <v>12623853.211009173</v>
      </c>
    </row>
    <row r="35" spans="1:21" ht="12.75" customHeight="1" x14ac:dyDescent="0.25">
      <c r="A35" s="20">
        <v>266</v>
      </c>
      <c r="B35" s="28">
        <v>1</v>
      </c>
      <c r="C35" s="28">
        <v>0</v>
      </c>
      <c r="D35" s="28">
        <v>0</v>
      </c>
      <c r="E35" s="28">
        <v>0</v>
      </c>
      <c r="G35" s="28">
        <f>$B$1-SUM($B$3:B34)</f>
        <v>16</v>
      </c>
      <c r="H35" s="31">
        <f t="shared" si="2"/>
        <v>0.14678899082568808</v>
      </c>
      <c r="I35" s="28">
        <f>$C$1-SUM($C$3:C35)</f>
        <v>54</v>
      </c>
      <c r="J35" s="32">
        <f t="shared" si="3"/>
        <v>0.49090909090909091</v>
      </c>
      <c r="K35" s="33">
        <f>SUM(D$3:D35)</f>
        <v>21</v>
      </c>
      <c r="L35" s="32">
        <f t="shared" si="4"/>
        <v>0.1875</v>
      </c>
      <c r="M35" s="33">
        <f>SUM($E$3:E35)</f>
        <v>7</v>
      </c>
      <c r="N35" s="32">
        <f t="shared" si="5"/>
        <v>6.4220183486238536E-2</v>
      </c>
      <c r="O35" s="13"/>
      <c r="P35" s="14">
        <f t="shared" si="6"/>
        <v>0.50909090909090904</v>
      </c>
      <c r="Q35" s="14">
        <f t="shared" si="7"/>
        <v>0.8125</v>
      </c>
      <c r="S35" s="15">
        <f t="shared" si="8"/>
        <v>0.78899082568807333</v>
      </c>
      <c r="T35" s="35">
        <f t="shared" ref="T35:T66" si="9">A35*$T$1*S35</f>
        <v>20987155.96330275</v>
      </c>
      <c r="U35" s="35">
        <f t="shared" ref="U35:U66" si="10">(A35-$U$1)*$T$1*S35</f>
        <v>13097247.706422018</v>
      </c>
    </row>
    <row r="36" spans="1:21" ht="12.75" customHeight="1" x14ac:dyDescent="0.25">
      <c r="A36" s="20">
        <v>280</v>
      </c>
      <c r="B36" s="28">
        <v>0</v>
      </c>
      <c r="C36" s="28">
        <v>1</v>
      </c>
      <c r="D36" s="28">
        <v>0</v>
      </c>
      <c r="E36" s="28">
        <v>1</v>
      </c>
      <c r="G36" s="28">
        <f>$B$1-SUM($B$3:B35)</f>
        <v>15</v>
      </c>
      <c r="H36" s="31">
        <f t="shared" si="2"/>
        <v>0.13761467889908258</v>
      </c>
      <c r="I36" s="28">
        <f>$C$1-SUM($C$3:C36)</f>
        <v>53</v>
      </c>
      <c r="J36" s="32">
        <f t="shared" si="3"/>
        <v>0.48181818181818181</v>
      </c>
      <c r="K36" s="33">
        <f>SUM(D$3:D36)</f>
        <v>21</v>
      </c>
      <c r="L36" s="32">
        <f t="shared" si="4"/>
        <v>0.1875</v>
      </c>
      <c r="M36" s="33">
        <f>SUM($E$3:E36)</f>
        <v>8</v>
      </c>
      <c r="N36" s="32">
        <f t="shared" si="5"/>
        <v>7.3394495412844041E-2</v>
      </c>
      <c r="O36" s="13"/>
      <c r="P36" s="14">
        <f t="shared" si="6"/>
        <v>0.51818181818181819</v>
      </c>
      <c r="Q36" s="14">
        <f t="shared" si="7"/>
        <v>0.8125</v>
      </c>
      <c r="S36" s="15">
        <f t="shared" si="8"/>
        <v>0.78899082568807333</v>
      </c>
      <c r="T36" s="35">
        <f t="shared" si="9"/>
        <v>22091743.119266052</v>
      </c>
      <c r="U36" s="35">
        <f t="shared" si="10"/>
        <v>14201834.86238532</v>
      </c>
    </row>
    <row r="37" spans="1:21" ht="12.75" customHeight="1" x14ac:dyDescent="0.25">
      <c r="A37" s="20">
        <v>289</v>
      </c>
      <c r="B37" s="28">
        <v>0</v>
      </c>
      <c r="C37" s="28">
        <v>1</v>
      </c>
      <c r="D37" s="28">
        <v>0</v>
      </c>
      <c r="E37" s="28">
        <v>0</v>
      </c>
      <c r="G37" s="28">
        <f>$B$1-SUM($B$3:B36)</f>
        <v>15</v>
      </c>
      <c r="H37" s="31">
        <f t="shared" si="2"/>
        <v>0.13761467889908258</v>
      </c>
      <c r="I37" s="28">
        <f>$C$1-SUM($C$3:C37)</f>
        <v>52</v>
      </c>
      <c r="J37" s="32">
        <f t="shared" si="3"/>
        <v>0.47272727272727272</v>
      </c>
      <c r="K37" s="33">
        <f>SUM(D$3:D37)</f>
        <v>21</v>
      </c>
      <c r="L37" s="32">
        <f t="shared" si="4"/>
        <v>0.1875</v>
      </c>
      <c r="M37" s="33">
        <f>SUM($E$3:E37)</f>
        <v>8</v>
      </c>
      <c r="N37" s="32">
        <f t="shared" si="5"/>
        <v>7.3394495412844041E-2</v>
      </c>
      <c r="O37" s="13"/>
      <c r="P37" s="14">
        <f t="shared" si="6"/>
        <v>0.52727272727272734</v>
      </c>
      <c r="Q37" s="14">
        <f t="shared" si="7"/>
        <v>0.8125</v>
      </c>
      <c r="S37" s="15">
        <f t="shared" si="8"/>
        <v>0.78899082568807333</v>
      </c>
      <c r="T37" s="35">
        <f t="shared" si="9"/>
        <v>22801834.862385318</v>
      </c>
      <c r="U37" s="35">
        <f t="shared" si="10"/>
        <v>14911926.605504585</v>
      </c>
    </row>
    <row r="38" spans="1:21" ht="12.75" customHeight="1" x14ac:dyDescent="0.25">
      <c r="A38" s="20">
        <v>290</v>
      </c>
      <c r="B38" s="28">
        <v>1</v>
      </c>
      <c r="C38" s="28">
        <v>2</v>
      </c>
      <c r="D38" s="28">
        <v>0</v>
      </c>
      <c r="E38" s="28">
        <v>0</v>
      </c>
      <c r="G38" s="28">
        <f>$B$1-SUM($B$3:B37)</f>
        <v>15</v>
      </c>
      <c r="H38" s="31">
        <f t="shared" si="2"/>
        <v>0.13761467889908258</v>
      </c>
      <c r="I38" s="28">
        <f>$C$1-SUM($C$3:C38)</f>
        <v>50</v>
      </c>
      <c r="J38" s="32">
        <f t="shared" si="3"/>
        <v>0.45454545454545453</v>
      </c>
      <c r="K38" s="33">
        <f>SUM(D$3:D38)</f>
        <v>21</v>
      </c>
      <c r="L38" s="32">
        <f t="shared" si="4"/>
        <v>0.1875</v>
      </c>
      <c r="M38" s="33">
        <f>SUM($E$3:E38)</f>
        <v>8</v>
      </c>
      <c r="N38" s="32">
        <f t="shared" si="5"/>
        <v>7.3394495412844041E-2</v>
      </c>
      <c r="O38" s="13"/>
      <c r="P38" s="14">
        <f t="shared" si="6"/>
        <v>0.54545454545454541</v>
      </c>
      <c r="Q38" s="14">
        <f t="shared" si="7"/>
        <v>0.8125</v>
      </c>
      <c r="S38" s="15">
        <f t="shared" si="8"/>
        <v>0.78899082568807333</v>
      </c>
      <c r="T38" s="35">
        <f t="shared" si="9"/>
        <v>22880733.944954127</v>
      </c>
      <c r="U38" s="35">
        <f t="shared" si="10"/>
        <v>14990825.688073393</v>
      </c>
    </row>
    <row r="39" spans="1:21" ht="12.75" customHeight="1" x14ac:dyDescent="0.25">
      <c r="A39" s="20">
        <v>299</v>
      </c>
      <c r="B39" s="28">
        <v>7</v>
      </c>
      <c r="C39" s="28">
        <v>13</v>
      </c>
      <c r="D39" s="28">
        <v>11</v>
      </c>
      <c r="E39" s="28">
        <v>4</v>
      </c>
      <c r="G39" s="28">
        <f>$B$1-SUM($B$3:B38)</f>
        <v>14</v>
      </c>
      <c r="H39" s="31">
        <f t="shared" si="2"/>
        <v>0.12844036697247707</v>
      </c>
      <c r="I39" s="28">
        <f>$C$1-SUM($C$3:C39)</f>
        <v>37</v>
      </c>
      <c r="J39" s="32">
        <f t="shared" si="3"/>
        <v>0.33636363636363636</v>
      </c>
      <c r="K39" s="33">
        <f>SUM(D$3:D39)</f>
        <v>32</v>
      </c>
      <c r="L39" s="32">
        <f t="shared" si="4"/>
        <v>0.2857142857142857</v>
      </c>
      <c r="M39" s="33">
        <f>SUM($E$3:E39)</f>
        <v>12</v>
      </c>
      <c r="N39" s="32">
        <f t="shared" si="5"/>
        <v>0.11009174311926606</v>
      </c>
      <c r="O39" s="13"/>
      <c r="P39" s="14">
        <f t="shared" si="6"/>
        <v>0.66363636363636358</v>
      </c>
      <c r="Q39" s="14">
        <f t="shared" si="7"/>
        <v>0.7142857142857143</v>
      </c>
      <c r="S39" s="15">
        <f t="shared" si="8"/>
        <v>0.76146788990825687</v>
      </c>
      <c r="T39" s="35">
        <f t="shared" si="9"/>
        <v>22767889.908256881</v>
      </c>
      <c r="U39" s="35">
        <f t="shared" si="10"/>
        <v>15153211.009174312</v>
      </c>
    </row>
    <row r="40" spans="1:21" ht="12.75" customHeight="1" x14ac:dyDescent="0.25">
      <c r="A40" s="20">
        <v>300</v>
      </c>
      <c r="B40" s="28">
        <v>5</v>
      </c>
      <c r="C40" s="28">
        <v>16</v>
      </c>
      <c r="D40" s="28">
        <v>12</v>
      </c>
      <c r="E40" s="28">
        <v>8</v>
      </c>
      <c r="G40" s="28">
        <f>$B$1-SUM($B$3:B39)</f>
        <v>7</v>
      </c>
      <c r="H40" s="31">
        <f t="shared" si="2"/>
        <v>6.4220183486238536E-2</v>
      </c>
      <c r="I40" s="28">
        <f>$C$1-SUM($C$3:C40)</f>
        <v>21</v>
      </c>
      <c r="J40" s="32">
        <f t="shared" si="3"/>
        <v>0.19090909090909092</v>
      </c>
      <c r="K40" s="33">
        <f>SUM(D$3:D40)</f>
        <v>44</v>
      </c>
      <c r="L40" s="32">
        <f t="shared" si="4"/>
        <v>0.39285714285714285</v>
      </c>
      <c r="M40" s="33">
        <f>SUM($E$3:E40)</f>
        <v>20</v>
      </c>
      <c r="N40" s="32">
        <f t="shared" si="5"/>
        <v>0.1834862385321101</v>
      </c>
      <c r="O40" s="13"/>
      <c r="P40" s="14">
        <f t="shared" si="6"/>
        <v>0.80909090909090908</v>
      </c>
      <c r="Q40" s="14">
        <f t="shared" si="7"/>
        <v>0.60714285714285721</v>
      </c>
      <c r="S40" s="15">
        <f t="shared" si="8"/>
        <v>0.75229357798165131</v>
      </c>
      <c r="T40" s="35">
        <f t="shared" si="9"/>
        <v>22568807.33944954</v>
      </c>
      <c r="U40" s="35">
        <f t="shared" si="10"/>
        <v>15045871.559633026</v>
      </c>
    </row>
    <row r="41" spans="1:21" ht="12.75" customHeight="1" x14ac:dyDescent="0.25">
      <c r="A41" s="20">
        <v>301</v>
      </c>
      <c r="B41" s="28">
        <v>0</v>
      </c>
      <c r="C41" s="28">
        <v>0</v>
      </c>
      <c r="D41" s="28">
        <v>0</v>
      </c>
      <c r="E41" s="28">
        <v>1</v>
      </c>
      <c r="G41" s="28">
        <f>$B$1-SUM($B$3:B40)</f>
        <v>2</v>
      </c>
      <c r="H41" s="31">
        <f t="shared" si="2"/>
        <v>1.834862385321101E-2</v>
      </c>
      <c r="I41" s="28">
        <f>$C$1-SUM($C$3:C41)</f>
        <v>21</v>
      </c>
      <c r="J41" s="32">
        <f t="shared" si="3"/>
        <v>0.19090909090909092</v>
      </c>
      <c r="K41" s="33">
        <f>SUM(D$3:D41)</f>
        <v>44</v>
      </c>
      <c r="L41" s="32">
        <f t="shared" si="4"/>
        <v>0.39285714285714285</v>
      </c>
      <c r="M41" s="33">
        <f>SUM($E$3:E41)</f>
        <v>21</v>
      </c>
      <c r="N41" s="32">
        <f t="shared" si="5"/>
        <v>0.19266055045871561</v>
      </c>
      <c r="O41" s="13"/>
      <c r="P41" s="14">
        <f t="shared" si="6"/>
        <v>0.80909090909090908</v>
      </c>
      <c r="Q41" s="14">
        <f t="shared" si="7"/>
        <v>0.60714285714285721</v>
      </c>
      <c r="S41" s="15">
        <f t="shared" si="8"/>
        <v>0.78899082568807333</v>
      </c>
      <c r="T41" s="35">
        <f t="shared" si="9"/>
        <v>23748623.853211008</v>
      </c>
      <c r="U41" s="35">
        <f t="shared" si="10"/>
        <v>15858715.596330274</v>
      </c>
    </row>
    <row r="42" spans="1:21" ht="12.75" customHeight="1" x14ac:dyDescent="0.25">
      <c r="A42" s="20">
        <v>320</v>
      </c>
      <c r="B42" s="28">
        <v>0</v>
      </c>
      <c r="C42" s="28">
        <v>1</v>
      </c>
      <c r="D42" s="28">
        <v>2</v>
      </c>
      <c r="E42" s="28">
        <v>0</v>
      </c>
      <c r="G42" s="28">
        <f>$B$1-SUM($B$3:B41)</f>
        <v>2</v>
      </c>
      <c r="H42" s="31">
        <f t="shared" si="2"/>
        <v>1.834862385321101E-2</v>
      </c>
      <c r="I42" s="28">
        <f>$C$1-SUM($C$3:C42)</f>
        <v>20</v>
      </c>
      <c r="J42" s="32">
        <f t="shared" si="3"/>
        <v>0.18181818181818182</v>
      </c>
      <c r="K42" s="33">
        <f>SUM(D$3:D42)</f>
        <v>46</v>
      </c>
      <c r="L42" s="32">
        <f t="shared" si="4"/>
        <v>0.4107142857142857</v>
      </c>
      <c r="M42" s="33">
        <f>SUM($E$3:E42)</f>
        <v>21</v>
      </c>
      <c r="N42" s="32">
        <f t="shared" si="5"/>
        <v>0.19266055045871561</v>
      </c>
      <c r="O42" s="13"/>
      <c r="P42" s="14">
        <f t="shared" si="6"/>
        <v>0.81818181818181812</v>
      </c>
      <c r="Q42" s="14">
        <f t="shared" si="7"/>
        <v>0.5892857142857143</v>
      </c>
      <c r="S42" s="15">
        <f t="shared" si="8"/>
        <v>0.78899082568807333</v>
      </c>
      <c r="T42" s="35">
        <f t="shared" si="9"/>
        <v>25247706.422018345</v>
      </c>
      <c r="U42" s="35">
        <f t="shared" si="10"/>
        <v>17357798.165137615</v>
      </c>
    </row>
    <row r="43" spans="1:21" ht="12.75" customHeight="1" x14ac:dyDescent="0.25">
      <c r="A43" s="20">
        <v>329</v>
      </c>
      <c r="B43" s="28">
        <v>0</v>
      </c>
      <c r="C43" s="28">
        <v>0</v>
      </c>
      <c r="D43" s="28">
        <v>0</v>
      </c>
      <c r="E43" s="28">
        <v>1</v>
      </c>
      <c r="G43" s="28">
        <f>$B$1-SUM($B$3:B42)</f>
        <v>2</v>
      </c>
      <c r="H43" s="31">
        <f t="shared" si="2"/>
        <v>1.834862385321101E-2</v>
      </c>
      <c r="I43" s="28">
        <f>$C$1-SUM($C$3:C43)</f>
        <v>20</v>
      </c>
      <c r="J43" s="32">
        <f t="shared" si="3"/>
        <v>0.18181818181818182</v>
      </c>
      <c r="K43" s="33">
        <f>SUM(D$3:D43)</f>
        <v>46</v>
      </c>
      <c r="L43" s="32">
        <f t="shared" si="4"/>
        <v>0.4107142857142857</v>
      </c>
      <c r="M43" s="33">
        <f>SUM($E$3:E43)</f>
        <v>22</v>
      </c>
      <c r="N43" s="32">
        <f t="shared" si="5"/>
        <v>0.20183486238532111</v>
      </c>
      <c r="O43" s="13"/>
      <c r="P43" s="14">
        <f t="shared" si="6"/>
        <v>0.81818181818181812</v>
      </c>
      <c r="Q43" s="14">
        <f t="shared" si="7"/>
        <v>0.5892857142857143</v>
      </c>
      <c r="S43" s="15">
        <f t="shared" si="8"/>
        <v>0.77981651376146788</v>
      </c>
      <c r="T43" s="35">
        <f t="shared" si="9"/>
        <v>25655963.302752294</v>
      </c>
      <c r="U43" s="35">
        <f t="shared" si="10"/>
        <v>17857798.165137615</v>
      </c>
    </row>
    <row r="44" spans="1:21" ht="12.75" customHeight="1" x14ac:dyDescent="0.25">
      <c r="A44" s="20">
        <v>340</v>
      </c>
      <c r="B44" s="28">
        <v>0</v>
      </c>
      <c r="C44" s="28">
        <v>0</v>
      </c>
      <c r="D44" s="28">
        <v>1</v>
      </c>
      <c r="E44" s="28">
        <v>1</v>
      </c>
      <c r="G44" s="28">
        <f>$B$1-SUM($B$3:B43)</f>
        <v>2</v>
      </c>
      <c r="H44" s="31">
        <f t="shared" si="2"/>
        <v>1.834862385321101E-2</v>
      </c>
      <c r="I44" s="28">
        <f>$C$1-SUM($C$3:C44)</f>
        <v>20</v>
      </c>
      <c r="J44" s="32">
        <f t="shared" si="3"/>
        <v>0.18181818181818182</v>
      </c>
      <c r="K44" s="33">
        <f>SUM(D$3:D44)</f>
        <v>47</v>
      </c>
      <c r="L44" s="32">
        <f t="shared" si="4"/>
        <v>0.41964285714285715</v>
      </c>
      <c r="M44" s="33">
        <f>SUM($E$3:E44)</f>
        <v>23</v>
      </c>
      <c r="N44" s="32">
        <f t="shared" si="5"/>
        <v>0.21100917431192662</v>
      </c>
      <c r="O44" s="13"/>
      <c r="P44" s="14">
        <f t="shared" si="6"/>
        <v>0.81818181818181812</v>
      </c>
      <c r="Q44" s="14">
        <f t="shared" si="7"/>
        <v>0.58035714285714279</v>
      </c>
      <c r="S44" s="15">
        <f t="shared" si="8"/>
        <v>0.77064220183486243</v>
      </c>
      <c r="T44" s="35">
        <f t="shared" si="9"/>
        <v>26201834.862385321</v>
      </c>
      <c r="U44" s="35">
        <f t="shared" si="10"/>
        <v>18495412.844036698</v>
      </c>
    </row>
    <row r="45" spans="1:21" ht="12.75" customHeight="1" x14ac:dyDescent="0.25">
      <c r="A45" s="20">
        <v>349</v>
      </c>
      <c r="B45" s="28">
        <v>1</v>
      </c>
      <c r="C45" s="28">
        <v>3</v>
      </c>
      <c r="D45" s="28">
        <v>7</v>
      </c>
      <c r="E45" s="28">
        <v>1</v>
      </c>
      <c r="G45" s="28">
        <f>$B$1-SUM($B$3:B44)</f>
        <v>2</v>
      </c>
      <c r="H45" s="31">
        <f t="shared" si="2"/>
        <v>1.834862385321101E-2</v>
      </c>
      <c r="I45" s="28">
        <f>$C$1-SUM($C$3:C45)</f>
        <v>17</v>
      </c>
      <c r="J45" s="32">
        <f t="shared" si="3"/>
        <v>0.15454545454545454</v>
      </c>
      <c r="K45" s="33">
        <f>SUM(D$3:D45)</f>
        <v>54</v>
      </c>
      <c r="L45" s="32">
        <f t="shared" si="4"/>
        <v>0.48214285714285715</v>
      </c>
      <c r="M45" s="33">
        <f>SUM($E$3:E45)</f>
        <v>24</v>
      </c>
      <c r="N45" s="32">
        <f t="shared" si="5"/>
        <v>0.22018348623853212</v>
      </c>
      <c r="O45" s="13"/>
      <c r="P45" s="14">
        <f t="shared" si="6"/>
        <v>0.84545454545454546</v>
      </c>
      <c r="Q45" s="14">
        <f t="shared" si="7"/>
        <v>0.51785714285714279</v>
      </c>
      <c r="S45" s="15">
        <f t="shared" si="8"/>
        <v>0.76146788990825687</v>
      </c>
      <c r="T45" s="35">
        <f t="shared" si="9"/>
        <v>26575229.357798163</v>
      </c>
      <c r="U45" s="35">
        <f t="shared" si="10"/>
        <v>18960550.458715595</v>
      </c>
    </row>
    <row r="46" spans="1:21" ht="12.75" customHeight="1" x14ac:dyDescent="0.25">
      <c r="A46" s="20">
        <v>350</v>
      </c>
      <c r="B46" s="28">
        <v>0</v>
      </c>
      <c r="C46" s="28">
        <v>8</v>
      </c>
      <c r="D46" s="28">
        <v>20</v>
      </c>
      <c r="E46" s="28">
        <v>7</v>
      </c>
      <c r="G46" s="28">
        <f>$B$1-SUM($B$3:B45)</f>
        <v>1</v>
      </c>
      <c r="H46" s="31">
        <f t="shared" si="2"/>
        <v>9.1743119266055051E-3</v>
      </c>
      <c r="I46" s="28">
        <f>$C$1-SUM($C$3:C46)</f>
        <v>9</v>
      </c>
      <c r="J46" s="32">
        <f t="shared" si="3"/>
        <v>8.1818181818181818E-2</v>
      </c>
      <c r="K46" s="33">
        <f>SUM(D$3:D46)</f>
        <v>74</v>
      </c>
      <c r="L46" s="32">
        <f t="shared" si="4"/>
        <v>0.6607142857142857</v>
      </c>
      <c r="M46" s="33">
        <f>SUM($E$3:E46)</f>
        <v>31</v>
      </c>
      <c r="N46" s="32">
        <f t="shared" si="5"/>
        <v>0.28440366972477066</v>
      </c>
      <c r="O46" s="13"/>
      <c r="P46" s="14">
        <f t="shared" si="6"/>
        <v>0.91818181818181821</v>
      </c>
      <c r="Q46" s="14">
        <f t="shared" si="7"/>
        <v>0.3392857142857143</v>
      </c>
      <c r="S46" s="15">
        <f t="shared" si="8"/>
        <v>0.70642201834862384</v>
      </c>
      <c r="T46" s="35">
        <f t="shared" si="9"/>
        <v>24724770.642201833</v>
      </c>
      <c r="U46" s="35">
        <f t="shared" si="10"/>
        <v>17660550.458715595</v>
      </c>
    </row>
    <row r="47" spans="1:21" ht="12.75" customHeight="1" x14ac:dyDescent="0.25">
      <c r="A47" s="20">
        <v>360</v>
      </c>
      <c r="B47" s="28">
        <v>0</v>
      </c>
      <c r="C47" s="28">
        <v>1</v>
      </c>
      <c r="D47" s="28">
        <v>0</v>
      </c>
      <c r="E47" s="28">
        <v>2</v>
      </c>
      <c r="G47" s="28">
        <f>$B$1-SUM($B$3:B46)</f>
        <v>1</v>
      </c>
      <c r="H47" s="31">
        <f t="shared" si="2"/>
        <v>9.1743119266055051E-3</v>
      </c>
      <c r="I47" s="28">
        <f>$C$1-SUM($C$3:C47)</f>
        <v>8</v>
      </c>
      <c r="J47" s="32">
        <f t="shared" si="3"/>
        <v>7.2727272727272724E-2</v>
      </c>
      <c r="K47" s="33">
        <f>SUM(D$3:D47)</f>
        <v>74</v>
      </c>
      <c r="L47" s="32">
        <f t="shared" si="4"/>
        <v>0.6607142857142857</v>
      </c>
      <c r="M47" s="33">
        <f>SUM($E$3:E47)</f>
        <v>33</v>
      </c>
      <c r="N47" s="32">
        <f t="shared" si="5"/>
        <v>0.30275229357798167</v>
      </c>
      <c r="O47" s="13"/>
      <c r="P47" s="14">
        <f t="shared" si="6"/>
        <v>0.92727272727272725</v>
      </c>
      <c r="Q47" s="14">
        <f t="shared" si="7"/>
        <v>0.3392857142857143</v>
      </c>
      <c r="S47" s="15">
        <f t="shared" si="8"/>
        <v>0.68807339449541294</v>
      </c>
      <c r="T47" s="35">
        <f t="shared" si="9"/>
        <v>24770642.201834865</v>
      </c>
      <c r="U47" s="35">
        <f t="shared" si="10"/>
        <v>17889908.256880738</v>
      </c>
    </row>
    <row r="48" spans="1:21" ht="12.75" customHeight="1" x14ac:dyDescent="0.25">
      <c r="A48" s="20">
        <v>365</v>
      </c>
      <c r="B48" s="28">
        <v>0</v>
      </c>
      <c r="C48" s="28">
        <v>1</v>
      </c>
      <c r="D48" s="28">
        <v>0</v>
      </c>
      <c r="E48" s="28">
        <v>0</v>
      </c>
      <c r="G48" s="28">
        <f>$B$1-SUM($B$3:B47)</f>
        <v>1</v>
      </c>
      <c r="H48" s="31">
        <f t="shared" si="2"/>
        <v>9.1743119266055051E-3</v>
      </c>
      <c r="I48" s="28">
        <f>$C$1-SUM($C$3:C48)</f>
        <v>7</v>
      </c>
      <c r="J48" s="32">
        <f t="shared" si="3"/>
        <v>6.363636363636363E-2</v>
      </c>
      <c r="K48" s="33">
        <f>SUM(D$3:D48)</f>
        <v>74</v>
      </c>
      <c r="L48" s="32">
        <f t="shared" si="4"/>
        <v>0.6607142857142857</v>
      </c>
      <c r="M48" s="33">
        <f>SUM($E$3:E48)</f>
        <v>33</v>
      </c>
      <c r="N48" s="32">
        <f t="shared" si="5"/>
        <v>0.30275229357798167</v>
      </c>
      <c r="O48" s="13"/>
      <c r="P48" s="14">
        <f t="shared" si="6"/>
        <v>0.9363636363636364</v>
      </c>
      <c r="Q48" s="14">
        <f t="shared" si="7"/>
        <v>0.3392857142857143</v>
      </c>
      <c r="S48" s="15">
        <f t="shared" si="8"/>
        <v>0.68807339449541294</v>
      </c>
      <c r="T48" s="35">
        <f t="shared" si="9"/>
        <v>25114678.899082571</v>
      </c>
      <c r="U48" s="35">
        <f t="shared" si="10"/>
        <v>18233944.954128444</v>
      </c>
    </row>
    <row r="49" spans="1:21" ht="12.75" customHeight="1" x14ac:dyDescent="0.25">
      <c r="A49" s="20">
        <v>380</v>
      </c>
      <c r="B49" s="28">
        <v>0</v>
      </c>
      <c r="C49" s="28">
        <v>1</v>
      </c>
      <c r="D49" s="28">
        <v>3</v>
      </c>
      <c r="E49" s="28">
        <v>0</v>
      </c>
      <c r="G49" s="28">
        <f>$B$1-SUM($B$3:B48)</f>
        <v>1</v>
      </c>
      <c r="H49" s="31">
        <f t="shared" si="2"/>
        <v>9.1743119266055051E-3</v>
      </c>
      <c r="I49" s="28">
        <f>$C$1-SUM($C$3:C49)</f>
        <v>6</v>
      </c>
      <c r="J49" s="32">
        <f t="shared" si="3"/>
        <v>5.4545454545454543E-2</v>
      </c>
      <c r="K49" s="33">
        <f>SUM(D$3:D49)</f>
        <v>77</v>
      </c>
      <c r="L49" s="32">
        <f t="shared" si="4"/>
        <v>0.6875</v>
      </c>
      <c r="M49" s="33">
        <f>SUM($E$3:E49)</f>
        <v>33</v>
      </c>
      <c r="N49" s="32">
        <f t="shared" si="5"/>
        <v>0.30275229357798167</v>
      </c>
      <c r="O49" s="13"/>
      <c r="P49" s="14">
        <f t="shared" si="6"/>
        <v>0.94545454545454544</v>
      </c>
      <c r="Q49" s="14">
        <f t="shared" si="7"/>
        <v>0.3125</v>
      </c>
      <c r="S49" s="15">
        <f t="shared" si="8"/>
        <v>0.68807339449541294</v>
      </c>
      <c r="T49" s="35">
        <f t="shared" si="9"/>
        <v>26146788.99082569</v>
      </c>
      <c r="U49" s="35">
        <f t="shared" si="10"/>
        <v>19266055.045871563</v>
      </c>
    </row>
    <row r="50" spans="1:21" ht="12.75" customHeight="1" x14ac:dyDescent="0.25">
      <c r="A50" s="20">
        <v>390</v>
      </c>
      <c r="B50" s="28">
        <v>0</v>
      </c>
      <c r="C50" s="28">
        <v>0</v>
      </c>
      <c r="D50" s="28">
        <v>1</v>
      </c>
      <c r="E50" s="28">
        <v>1</v>
      </c>
      <c r="G50" s="28">
        <f>$B$1-SUM($B$3:B49)</f>
        <v>1</v>
      </c>
      <c r="H50" s="31">
        <f t="shared" si="2"/>
        <v>9.1743119266055051E-3</v>
      </c>
      <c r="I50" s="28">
        <f>$C$1-SUM($C$3:C50)</f>
        <v>6</v>
      </c>
      <c r="J50" s="32">
        <f t="shared" si="3"/>
        <v>5.4545454545454543E-2</v>
      </c>
      <c r="K50" s="33">
        <f>SUM(D$3:D50)</f>
        <v>78</v>
      </c>
      <c r="L50" s="32">
        <f t="shared" si="4"/>
        <v>0.6964285714285714</v>
      </c>
      <c r="M50" s="33">
        <f>SUM($E$3:E50)</f>
        <v>34</v>
      </c>
      <c r="N50" s="32">
        <f t="shared" si="5"/>
        <v>0.31192660550458717</v>
      </c>
      <c r="O50" s="13"/>
      <c r="P50" s="14">
        <f t="shared" si="6"/>
        <v>0.94545454545454544</v>
      </c>
      <c r="Q50" s="14">
        <f t="shared" si="7"/>
        <v>0.3035714285714286</v>
      </c>
      <c r="S50" s="15">
        <f t="shared" si="8"/>
        <v>0.67889908256880738</v>
      </c>
      <c r="T50" s="35">
        <f t="shared" si="9"/>
        <v>26477064.220183488</v>
      </c>
      <c r="U50" s="35">
        <f t="shared" si="10"/>
        <v>19688073.394495413</v>
      </c>
    </row>
    <row r="51" spans="1:21" ht="12.75" customHeight="1" x14ac:dyDescent="0.25">
      <c r="A51" s="20">
        <v>399</v>
      </c>
      <c r="B51" s="28">
        <v>0</v>
      </c>
      <c r="C51" s="28">
        <v>3</v>
      </c>
      <c r="D51" s="28">
        <v>8</v>
      </c>
      <c r="E51" s="28">
        <v>4</v>
      </c>
      <c r="G51" s="28">
        <f>$B$1-SUM($B$3:B50)</f>
        <v>1</v>
      </c>
      <c r="H51" s="31">
        <f t="shared" si="2"/>
        <v>9.1743119266055051E-3</v>
      </c>
      <c r="I51" s="28">
        <f>$C$1-SUM($C$3:C51)</f>
        <v>3</v>
      </c>
      <c r="J51" s="32">
        <f t="shared" si="3"/>
        <v>2.7272727272727271E-2</v>
      </c>
      <c r="K51" s="33">
        <f>SUM(D$3:D51)</f>
        <v>86</v>
      </c>
      <c r="L51" s="32">
        <f t="shared" si="4"/>
        <v>0.7678571428571429</v>
      </c>
      <c r="M51" s="33">
        <f>SUM($E$3:E51)</f>
        <v>38</v>
      </c>
      <c r="N51" s="32">
        <f t="shared" si="5"/>
        <v>0.34862385321100919</v>
      </c>
      <c r="O51" s="13"/>
      <c r="P51" s="14">
        <f t="shared" si="6"/>
        <v>0.97272727272727277</v>
      </c>
      <c r="Q51" s="14">
        <f t="shared" si="7"/>
        <v>0.2321428571428571</v>
      </c>
      <c r="S51" s="15">
        <f t="shared" si="8"/>
        <v>0.64220183486238536</v>
      </c>
      <c r="T51" s="35">
        <f t="shared" si="9"/>
        <v>25623853.211009175</v>
      </c>
      <c r="U51" s="35">
        <f t="shared" si="10"/>
        <v>19201834.862385321</v>
      </c>
    </row>
    <row r="52" spans="1:21" ht="12.75" customHeight="1" x14ac:dyDescent="0.25">
      <c r="A52" s="20">
        <v>400</v>
      </c>
      <c r="B52" s="28">
        <v>0</v>
      </c>
      <c r="C52" s="28">
        <v>2</v>
      </c>
      <c r="D52" s="28">
        <v>17</v>
      </c>
      <c r="E52" s="28">
        <v>18</v>
      </c>
      <c r="G52" s="28">
        <f>$B$1-SUM($B$3:B51)</f>
        <v>1</v>
      </c>
      <c r="H52" s="31">
        <f t="shared" si="2"/>
        <v>9.1743119266055051E-3</v>
      </c>
      <c r="I52" s="28">
        <f>$C$1-SUM($C$3:C52)</f>
        <v>1</v>
      </c>
      <c r="J52" s="32">
        <f t="shared" si="3"/>
        <v>9.0909090909090905E-3</v>
      </c>
      <c r="K52" s="33">
        <f>SUM(D$3:D52)</f>
        <v>103</v>
      </c>
      <c r="L52" s="32">
        <f t="shared" si="4"/>
        <v>0.9196428571428571</v>
      </c>
      <c r="M52" s="33">
        <f>SUM($E$3:E52)</f>
        <v>56</v>
      </c>
      <c r="N52" s="32">
        <f t="shared" si="5"/>
        <v>0.51376146788990829</v>
      </c>
      <c r="O52" s="13"/>
      <c r="P52" s="14">
        <f t="shared" si="6"/>
        <v>0.99090909090909096</v>
      </c>
      <c r="Q52" s="14">
        <f t="shared" si="7"/>
        <v>8.0357142857142905E-2</v>
      </c>
      <c r="S52" s="15">
        <f t="shared" si="8"/>
        <v>0.47706422018348627</v>
      </c>
      <c r="T52" s="35">
        <f t="shared" si="9"/>
        <v>19082568.807339452</v>
      </c>
      <c r="U52" s="35">
        <f t="shared" si="10"/>
        <v>14311926.605504587</v>
      </c>
    </row>
    <row r="53" spans="1:21" ht="12.75" customHeight="1" x14ac:dyDescent="0.25">
      <c r="A53" s="20">
        <v>419</v>
      </c>
      <c r="B53" s="28">
        <v>0</v>
      </c>
      <c r="C53" s="28">
        <v>0</v>
      </c>
      <c r="D53" s="28">
        <v>0</v>
      </c>
      <c r="E53" s="28">
        <v>1</v>
      </c>
      <c r="G53" s="28">
        <f>$B$1-SUM($B$3:B52)</f>
        <v>1</v>
      </c>
      <c r="H53" s="31">
        <f t="shared" si="2"/>
        <v>9.1743119266055051E-3</v>
      </c>
      <c r="I53" s="28">
        <f>$C$1-SUM($C$3:C53)</f>
        <v>1</v>
      </c>
      <c r="J53" s="32">
        <f t="shared" si="3"/>
        <v>9.0909090909090905E-3</v>
      </c>
      <c r="K53" s="33">
        <f>SUM(D$3:D53)</f>
        <v>103</v>
      </c>
      <c r="L53" s="32">
        <f t="shared" si="4"/>
        <v>0.9196428571428571</v>
      </c>
      <c r="M53" s="33">
        <f>SUM($E$3:E53)</f>
        <v>57</v>
      </c>
      <c r="N53" s="32">
        <f t="shared" si="5"/>
        <v>0.52293577981651373</v>
      </c>
      <c r="O53" s="13"/>
      <c r="P53" s="14">
        <f t="shared" si="6"/>
        <v>0.99090909090909096</v>
      </c>
      <c r="Q53" s="14">
        <f t="shared" si="7"/>
        <v>8.0357142857142905E-2</v>
      </c>
      <c r="S53" s="15">
        <f t="shared" si="8"/>
        <v>0.46788990825688082</v>
      </c>
      <c r="T53" s="35">
        <f t="shared" si="9"/>
        <v>19604587.155963305</v>
      </c>
      <c r="U53" s="35">
        <f t="shared" si="10"/>
        <v>14925688.073394498</v>
      </c>
    </row>
    <row r="54" spans="1:21" ht="12.75" customHeight="1" x14ac:dyDescent="0.25">
      <c r="A54" s="20">
        <v>420</v>
      </c>
      <c r="B54" s="28">
        <v>0</v>
      </c>
      <c r="C54" s="28">
        <v>0</v>
      </c>
      <c r="D54" s="28">
        <v>0</v>
      </c>
      <c r="E54" s="28">
        <v>2</v>
      </c>
      <c r="G54" s="28">
        <f>$B$1-SUM($B$3:B53)</f>
        <v>1</v>
      </c>
      <c r="H54" s="31">
        <f t="shared" si="2"/>
        <v>9.1743119266055051E-3</v>
      </c>
      <c r="I54" s="28">
        <f>$C$1-SUM($C$3:C54)</f>
        <v>1</v>
      </c>
      <c r="J54" s="32">
        <f t="shared" si="3"/>
        <v>9.0909090909090905E-3</v>
      </c>
      <c r="K54" s="33">
        <f>SUM(D$3:D54)</f>
        <v>103</v>
      </c>
      <c r="L54" s="32">
        <f t="shared" si="4"/>
        <v>0.9196428571428571</v>
      </c>
      <c r="M54" s="33">
        <f>SUM($E$3:E54)</f>
        <v>59</v>
      </c>
      <c r="N54" s="32">
        <f t="shared" si="5"/>
        <v>0.54128440366972475</v>
      </c>
      <c r="O54" s="13"/>
      <c r="P54" s="14">
        <f t="shared" si="6"/>
        <v>0.99090909090909096</v>
      </c>
      <c r="Q54" s="14">
        <f t="shared" si="7"/>
        <v>8.0357142857142905E-2</v>
      </c>
      <c r="S54" s="15">
        <f t="shared" si="8"/>
        <v>0.44954128440366981</v>
      </c>
      <c r="T54" s="35">
        <f t="shared" si="9"/>
        <v>18880733.944954131</v>
      </c>
      <c r="U54" s="35">
        <f t="shared" si="10"/>
        <v>14385321.100917434</v>
      </c>
    </row>
    <row r="55" spans="1:21" ht="12.75" customHeight="1" x14ac:dyDescent="0.25">
      <c r="A55" s="20">
        <v>449</v>
      </c>
      <c r="B55" s="28">
        <v>0</v>
      </c>
      <c r="C55" s="28">
        <v>0</v>
      </c>
      <c r="D55" s="28">
        <v>2</v>
      </c>
      <c r="E55" s="28">
        <v>2</v>
      </c>
      <c r="G55" s="28">
        <f>$B$1-SUM($B$3:B54)</f>
        <v>1</v>
      </c>
      <c r="H55" s="31">
        <f t="shared" si="2"/>
        <v>9.1743119266055051E-3</v>
      </c>
      <c r="I55" s="28">
        <f>$C$1-SUM($C$3:C55)</f>
        <v>1</v>
      </c>
      <c r="J55" s="32">
        <f t="shared" si="3"/>
        <v>9.0909090909090905E-3</v>
      </c>
      <c r="K55" s="33">
        <f>SUM(D$3:D55)</f>
        <v>105</v>
      </c>
      <c r="L55" s="32">
        <f t="shared" si="4"/>
        <v>0.9375</v>
      </c>
      <c r="M55" s="33">
        <f>SUM($E$3:E55)</f>
        <v>61</v>
      </c>
      <c r="N55" s="32">
        <f t="shared" si="5"/>
        <v>0.55963302752293576</v>
      </c>
      <c r="O55" s="13"/>
      <c r="P55" s="14">
        <f t="shared" si="6"/>
        <v>0.99090909090909096</v>
      </c>
      <c r="Q55" s="14">
        <f t="shared" si="7"/>
        <v>6.25E-2</v>
      </c>
      <c r="S55" s="15">
        <f t="shared" si="8"/>
        <v>0.4311926605504588</v>
      </c>
      <c r="T55" s="35">
        <f t="shared" si="9"/>
        <v>19360550.458715599</v>
      </c>
      <c r="U55" s="35">
        <f t="shared" si="10"/>
        <v>15048623.853211012</v>
      </c>
    </row>
    <row r="56" spans="1:21" ht="12.75" customHeight="1" x14ac:dyDescent="0.25">
      <c r="A56" s="20">
        <v>450</v>
      </c>
      <c r="B56" s="28">
        <v>0</v>
      </c>
      <c r="C56" s="28">
        <v>0</v>
      </c>
      <c r="D56" s="28">
        <v>0</v>
      </c>
      <c r="E56" s="28">
        <v>8</v>
      </c>
      <c r="G56" s="28">
        <f>$B$1-SUM($B$3:B55)</f>
        <v>1</v>
      </c>
      <c r="H56" s="31">
        <f t="shared" si="2"/>
        <v>9.1743119266055051E-3</v>
      </c>
      <c r="I56" s="28">
        <f>$C$1-SUM($C$3:C56)</f>
        <v>1</v>
      </c>
      <c r="J56" s="32">
        <f t="shared" si="3"/>
        <v>9.0909090909090905E-3</v>
      </c>
      <c r="K56" s="33">
        <f>SUM(D$3:D56)</f>
        <v>105</v>
      </c>
      <c r="L56" s="32">
        <f t="shared" si="4"/>
        <v>0.9375</v>
      </c>
      <c r="M56" s="33">
        <f>SUM($E$3:E56)</f>
        <v>69</v>
      </c>
      <c r="N56" s="32">
        <f t="shared" si="5"/>
        <v>0.6330275229357798</v>
      </c>
      <c r="O56" s="13"/>
      <c r="P56" s="14">
        <f t="shared" si="6"/>
        <v>0.99090909090909096</v>
      </c>
      <c r="Q56" s="14">
        <f t="shared" si="7"/>
        <v>6.25E-2</v>
      </c>
      <c r="S56" s="15">
        <f t="shared" si="8"/>
        <v>0.35779816513761475</v>
      </c>
      <c r="T56" s="35">
        <f t="shared" si="9"/>
        <v>16100917.431192664</v>
      </c>
      <c r="U56" s="35">
        <f t="shared" si="10"/>
        <v>12522935.779816516</v>
      </c>
    </row>
    <row r="57" spans="1:21" ht="12.75" customHeight="1" x14ac:dyDescent="0.25">
      <c r="A57" s="20">
        <v>455</v>
      </c>
      <c r="B57" s="28">
        <v>0</v>
      </c>
      <c r="C57" s="28">
        <v>0</v>
      </c>
      <c r="D57" s="28">
        <v>0</v>
      </c>
      <c r="E57" s="28">
        <v>1</v>
      </c>
      <c r="G57" s="28">
        <f>$B$1-SUM($B$3:B56)</f>
        <v>1</v>
      </c>
      <c r="H57" s="31">
        <f t="shared" si="2"/>
        <v>9.1743119266055051E-3</v>
      </c>
      <c r="I57" s="28">
        <f>$C$1-SUM($C$3:C57)</f>
        <v>1</v>
      </c>
      <c r="J57" s="32">
        <f t="shared" si="3"/>
        <v>9.0909090909090905E-3</v>
      </c>
      <c r="K57" s="33">
        <f>SUM(D$3:D57)</f>
        <v>105</v>
      </c>
      <c r="L57" s="32">
        <f t="shared" si="4"/>
        <v>0.9375</v>
      </c>
      <c r="M57" s="33">
        <f>SUM($E$3:E57)</f>
        <v>70</v>
      </c>
      <c r="N57" s="32">
        <f t="shared" si="5"/>
        <v>0.64220183486238536</v>
      </c>
      <c r="O57" s="13"/>
      <c r="P57" s="14">
        <f t="shared" si="6"/>
        <v>0.99090909090909096</v>
      </c>
      <c r="Q57" s="14">
        <f t="shared" si="7"/>
        <v>6.25E-2</v>
      </c>
      <c r="S57" s="15">
        <f t="shared" si="8"/>
        <v>0.34862385321100919</v>
      </c>
      <c r="T57" s="35">
        <f t="shared" si="9"/>
        <v>15862385.321100919</v>
      </c>
      <c r="U57" s="35">
        <f t="shared" si="10"/>
        <v>12376146.788990827</v>
      </c>
    </row>
    <row r="58" spans="1:21" ht="12.75" customHeight="1" x14ac:dyDescent="0.25">
      <c r="A58" s="20">
        <v>489</v>
      </c>
      <c r="B58" s="28">
        <v>0</v>
      </c>
      <c r="C58" s="28">
        <v>0</v>
      </c>
      <c r="D58" s="28">
        <v>1</v>
      </c>
      <c r="E58" s="28">
        <v>0</v>
      </c>
      <c r="G58" s="28">
        <f>$B$1-SUM($B$3:B57)</f>
        <v>1</v>
      </c>
      <c r="H58" s="31">
        <f t="shared" si="2"/>
        <v>9.1743119266055051E-3</v>
      </c>
      <c r="I58" s="28">
        <f>$C$1-SUM($C$3:C58)</f>
        <v>1</v>
      </c>
      <c r="J58" s="32">
        <f t="shared" si="3"/>
        <v>9.0909090909090905E-3</v>
      </c>
      <c r="K58" s="33">
        <f>SUM(D$3:D58)</f>
        <v>106</v>
      </c>
      <c r="L58" s="32">
        <f t="shared" si="4"/>
        <v>0.9464285714285714</v>
      </c>
      <c r="M58" s="33">
        <f>SUM($E$3:E58)</f>
        <v>70</v>
      </c>
      <c r="N58" s="32">
        <f t="shared" si="5"/>
        <v>0.64220183486238536</v>
      </c>
      <c r="O58" s="13"/>
      <c r="P58" s="14">
        <f t="shared" si="6"/>
        <v>0.99090909090909096</v>
      </c>
      <c r="Q58" s="14">
        <f t="shared" si="7"/>
        <v>5.3571428571428603E-2</v>
      </c>
      <c r="S58" s="15">
        <f t="shared" si="8"/>
        <v>0.34862385321100919</v>
      </c>
      <c r="T58" s="35">
        <f t="shared" si="9"/>
        <v>17047706.422018349</v>
      </c>
      <c r="U58" s="35">
        <f t="shared" si="10"/>
        <v>13561467.889908258</v>
      </c>
    </row>
    <row r="59" spans="1:21" ht="12.75" customHeight="1" x14ac:dyDescent="0.25">
      <c r="A59" s="20">
        <v>499</v>
      </c>
      <c r="B59" s="28">
        <v>0</v>
      </c>
      <c r="C59" s="28">
        <v>0</v>
      </c>
      <c r="D59" s="28">
        <v>1</v>
      </c>
      <c r="E59" s="28">
        <v>9</v>
      </c>
      <c r="G59" s="28">
        <f>$B$1-SUM($B$3:B58)</f>
        <v>1</v>
      </c>
      <c r="H59" s="31">
        <f t="shared" si="2"/>
        <v>9.1743119266055051E-3</v>
      </c>
      <c r="I59" s="28">
        <f>$C$1-SUM($C$3:C59)</f>
        <v>1</v>
      </c>
      <c r="J59" s="32">
        <f t="shared" si="3"/>
        <v>9.0909090909090905E-3</v>
      </c>
      <c r="K59" s="33">
        <f>SUM(D$3:D59)</f>
        <v>107</v>
      </c>
      <c r="L59" s="32">
        <f t="shared" si="4"/>
        <v>0.9553571428571429</v>
      </c>
      <c r="M59" s="33">
        <f>SUM($E$3:E59)</f>
        <v>79</v>
      </c>
      <c r="N59" s="32">
        <f t="shared" si="5"/>
        <v>0.72477064220183485</v>
      </c>
      <c r="O59" s="13"/>
      <c r="P59" s="14">
        <f t="shared" si="6"/>
        <v>0.99090909090909096</v>
      </c>
      <c r="Q59" s="14">
        <f t="shared" si="7"/>
        <v>4.4642857142857095E-2</v>
      </c>
      <c r="S59" s="15">
        <f t="shared" si="8"/>
        <v>0.2660550458715597</v>
      </c>
      <c r="T59" s="35">
        <f t="shared" si="9"/>
        <v>13276146.788990829</v>
      </c>
      <c r="U59" s="35">
        <f t="shared" si="10"/>
        <v>10615596.330275232</v>
      </c>
    </row>
    <row r="60" spans="1:21" ht="12.75" customHeight="1" x14ac:dyDescent="0.25">
      <c r="A60" s="20">
        <v>500</v>
      </c>
      <c r="B60" s="28">
        <v>1</v>
      </c>
      <c r="C60" s="28">
        <v>1</v>
      </c>
      <c r="D60" s="28">
        <v>3</v>
      </c>
      <c r="E60" s="28">
        <v>20</v>
      </c>
      <c r="G60" s="28">
        <f>$B$1-SUM($B$3:B59)</f>
        <v>1</v>
      </c>
      <c r="H60" s="31">
        <f t="shared" si="2"/>
        <v>9.1743119266055051E-3</v>
      </c>
      <c r="I60" s="28">
        <f>$C$1-SUM($C$3:C60)</f>
        <v>0</v>
      </c>
      <c r="J60" s="32">
        <f t="shared" si="3"/>
        <v>0</v>
      </c>
      <c r="K60" s="33">
        <f>SUM(D$3:D60)</f>
        <v>110</v>
      </c>
      <c r="L60" s="32">
        <f t="shared" si="4"/>
        <v>0.9821428571428571</v>
      </c>
      <c r="M60" s="33">
        <f>SUM($E$3:E60)</f>
        <v>99</v>
      </c>
      <c r="N60" s="32">
        <f t="shared" si="5"/>
        <v>0.90825688073394495</v>
      </c>
      <c r="O60" s="13"/>
      <c r="P60" s="14">
        <f t="shared" si="6"/>
        <v>1</v>
      </c>
      <c r="Q60" s="14">
        <f t="shared" si="7"/>
        <v>1.7857142857142905E-2</v>
      </c>
      <c r="S60" s="15">
        <f t="shared" si="8"/>
        <v>8.2568807339449601E-2</v>
      </c>
      <c r="T60" s="35">
        <f t="shared" si="9"/>
        <v>4128440.36697248</v>
      </c>
      <c r="U60" s="35">
        <f t="shared" si="10"/>
        <v>3302752.293577984</v>
      </c>
    </row>
    <row r="61" spans="1:21" ht="12.75" customHeight="1" x14ac:dyDescent="0.25">
      <c r="A61" s="20">
        <v>550</v>
      </c>
      <c r="B61" s="28">
        <v>0</v>
      </c>
      <c r="C61" s="28">
        <v>0</v>
      </c>
      <c r="D61" s="28">
        <v>0</v>
      </c>
      <c r="E61" s="28">
        <v>3</v>
      </c>
      <c r="G61" s="28">
        <f>$B$1-SUM($B$3:B60)</f>
        <v>0</v>
      </c>
      <c r="H61" s="31">
        <f t="shared" si="2"/>
        <v>0</v>
      </c>
      <c r="I61" s="28">
        <f>$C$1-SUM($C$3:C61)</f>
        <v>0</v>
      </c>
      <c r="J61" s="32">
        <f t="shared" si="3"/>
        <v>0</v>
      </c>
      <c r="K61" s="33">
        <f>SUM(D$3:D61)</f>
        <v>110</v>
      </c>
      <c r="L61" s="32">
        <f t="shared" si="4"/>
        <v>0.9821428571428571</v>
      </c>
      <c r="M61" s="33">
        <f>SUM($E$3:E61)</f>
        <v>102</v>
      </c>
      <c r="N61" s="32">
        <f t="shared" si="5"/>
        <v>0.93577981651376152</v>
      </c>
      <c r="O61" s="13"/>
      <c r="P61" s="14">
        <f t="shared" si="6"/>
        <v>1</v>
      </c>
      <c r="Q61" s="14">
        <f t="shared" si="7"/>
        <v>1.7857142857142905E-2</v>
      </c>
      <c r="S61" s="15">
        <f t="shared" si="8"/>
        <v>6.422018348623848E-2</v>
      </c>
      <c r="T61" s="35">
        <f t="shared" si="9"/>
        <v>3532110.0917431163</v>
      </c>
      <c r="U61" s="35">
        <f t="shared" si="10"/>
        <v>2889908.2568807318</v>
      </c>
    </row>
    <row r="62" spans="1:21" ht="12.75" customHeight="1" x14ac:dyDescent="0.25">
      <c r="A62" s="20">
        <v>590</v>
      </c>
      <c r="B62" s="28">
        <v>0</v>
      </c>
      <c r="C62" s="28">
        <v>0</v>
      </c>
      <c r="D62" s="28">
        <v>0</v>
      </c>
      <c r="E62" s="28">
        <v>1</v>
      </c>
      <c r="G62" s="28">
        <f>$B$1-SUM($B$3:B61)</f>
        <v>0</v>
      </c>
      <c r="H62" s="31">
        <f t="shared" si="2"/>
        <v>0</v>
      </c>
      <c r="I62" s="28">
        <f>$C$1-SUM($C$3:C62)</f>
        <v>0</v>
      </c>
      <c r="J62" s="32">
        <f t="shared" si="3"/>
        <v>0</v>
      </c>
      <c r="K62" s="33">
        <f>SUM(D$3:D62)</f>
        <v>110</v>
      </c>
      <c r="L62" s="32">
        <f t="shared" si="4"/>
        <v>0.9821428571428571</v>
      </c>
      <c r="M62" s="33">
        <f>SUM($E$3:E62)</f>
        <v>103</v>
      </c>
      <c r="N62" s="32">
        <f t="shared" si="5"/>
        <v>0.94495412844036697</v>
      </c>
      <c r="O62" s="13"/>
      <c r="P62" s="14">
        <f t="shared" si="6"/>
        <v>1</v>
      </c>
      <c r="Q62" s="14">
        <f t="shared" si="7"/>
        <v>1.7857142857142905E-2</v>
      </c>
      <c r="S62" s="15">
        <f t="shared" si="8"/>
        <v>5.5045871559633031E-2</v>
      </c>
      <c r="T62" s="35">
        <f t="shared" si="9"/>
        <v>3247706.4220183487</v>
      </c>
      <c r="U62" s="35">
        <f t="shared" si="10"/>
        <v>2697247.7064220184</v>
      </c>
    </row>
    <row r="63" spans="1:21" ht="12.75" customHeight="1" x14ac:dyDescent="0.25">
      <c r="A63" s="20">
        <v>599</v>
      </c>
      <c r="B63" s="28">
        <v>0</v>
      </c>
      <c r="C63" s="28">
        <v>0</v>
      </c>
      <c r="D63" s="28">
        <v>1</v>
      </c>
      <c r="E63" s="28">
        <v>1</v>
      </c>
      <c r="G63" s="28">
        <f>$B$1-SUM($B$3:B62)</f>
        <v>0</v>
      </c>
      <c r="H63" s="31">
        <f t="shared" si="2"/>
        <v>0</v>
      </c>
      <c r="I63" s="28">
        <f>$C$1-SUM($C$3:C63)</f>
        <v>0</v>
      </c>
      <c r="J63" s="32">
        <f t="shared" si="3"/>
        <v>0</v>
      </c>
      <c r="K63" s="33">
        <f>SUM(D$3:D63)</f>
        <v>111</v>
      </c>
      <c r="L63" s="32">
        <f t="shared" si="4"/>
        <v>0.9910714285714286</v>
      </c>
      <c r="M63" s="33">
        <f>SUM($E$3:E63)</f>
        <v>104</v>
      </c>
      <c r="N63" s="32">
        <f t="shared" si="5"/>
        <v>0.95412844036697253</v>
      </c>
      <c r="O63" s="13"/>
      <c r="P63" s="14">
        <f t="shared" si="6"/>
        <v>1</v>
      </c>
      <c r="Q63" s="14">
        <f t="shared" si="7"/>
        <v>8.9285714285713969E-3</v>
      </c>
      <c r="S63" s="15">
        <f t="shared" si="8"/>
        <v>4.587155963302747E-2</v>
      </c>
      <c r="T63" s="35">
        <f t="shared" si="9"/>
        <v>2747706.4220183454</v>
      </c>
      <c r="U63" s="35">
        <f t="shared" si="10"/>
        <v>2288990.8256880706</v>
      </c>
    </row>
    <row r="64" spans="1:21" ht="12.75" customHeight="1" x14ac:dyDescent="0.25">
      <c r="A64" s="20">
        <v>600</v>
      </c>
      <c r="B64" s="28">
        <v>0</v>
      </c>
      <c r="C64" s="28">
        <v>0</v>
      </c>
      <c r="D64" s="28">
        <v>1</v>
      </c>
      <c r="E64" s="28">
        <v>3</v>
      </c>
      <c r="G64" s="28">
        <f>$B$1-SUM($B$3:B63)</f>
        <v>0</v>
      </c>
      <c r="H64" s="31">
        <f t="shared" si="2"/>
        <v>0</v>
      </c>
      <c r="I64" s="28">
        <f>$C$1-SUM($C$3:C64)</f>
        <v>0</v>
      </c>
      <c r="J64" s="32">
        <f t="shared" si="3"/>
        <v>0</v>
      </c>
      <c r="K64" s="33">
        <f>SUM(D$3:D64)</f>
        <v>112</v>
      </c>
      <c r="L64" s="32">
        <f t="shared" si="4"/>
        <v>1</v>
      </c>
      <c r="M64" s="33">
        <f>SUM($E$3:E64)</f>
        <v>107</v>
      </c>
      <c r="N64" s="32">
        <f t="shared" si="5"/>
        <v>0.98165137614678899</v>
      </c>
      <c r="O64" s="13"/>
      <c r="P64" s="14">
        <f t="shared" si="6"/>
        <v>1</v>
      </c>
      <c r="Q64" s="14">
        <f t="shared" si="7"/>
        <v>0</v>
      </c>
      <c r="S64" s="15">
        <f t="shared" si="8"/>
        <v>1.834862385321101E-2</v>
      </c>
      <c r="T64" s="35">
        <f t="shared" si="9"/>
        <v>1100917.4311926607</v>
      </c>
      <c r="U64" s="35">
        <f t="shared" si="10"/>
        <v>917431.19266055047</v>
      </c>
    </row>
    <row r="65" spans="1:21" ht="12.75" customHeight="1" x14ac:dyDescent="0.25">
      <c r="A65" s="20">
        <v>699</v>
      </c>
      <c r="B65" s="28">
        <v>0</v>
      </c>
      <c r="C65" s="28">
        <v>0</v>
      </c>
      <c r="D65" s="28">
        <v>0</v>
      </c>
      <c r="E65" s="28">
        <v>1</v>
      </c>
      <c r="G65" s="28">
        <f>$B$1-SUM($B$3:B64)</f>
        <v>0</v>
      </c>
      <c r="H65" s="31">
        <f t="shared" si="2"/>
        <v>0</v>
      </c>
      <c r="I65" s="28">
        <f>$C$1-SUM($C$3:C65)</f>
        <v>0</v>
      </c>
      <c r="J65" s="32">
        <f t="shared" si="3"/>
        <v>0</v>
      </c>
      <c r="K65" s="33">
        <f>SUM(D$3:D65)</f>
        <v>112</v>
      </c>
      <c r="L65" s="32">
        <f t="shared" si="4"/>
        <v>1</v>
      </c>
      <c r="M65" s="33">
        <f>SUM($E$3:E65)</f>
        <v>108</v>
      </c>
      <c r="N65" s="32">
        <f t="shared" si="5"/>
        <v>0.99082568807339455</v>
      </c>
      <c r="O65" s="13"/>
      <c r="P65" s="14">
        <f t="shared" si="6"/>
        <v>1</v>
      </c>
      <c r="Q65" s="14">
        <f t="shared" si="7"/>
        <v>0</v>
      </c>
      <c r="S65" s="15">
        <f t="shared" si="8"/>
        <v>9.1743119266054496E-3</v>
      </c>
      <c r="T65" s="35">
        <f t="shared" si="9"/>
        <v>641284.40366972098</v>
      </c>
      <c r="U65" s="35">
        <f t="shared" si="10"/>
        <v>549541.28440366639</v>
      </c>
    </row>
    <row r="66" spans="1:21" ht="12.75" customHeight="1" x14ac:dyDescent="0.25">
      <c r="A66" s="20">
        <v>700</v>
      </c>
      <c r="B66" s="28">
        <v>0</v>
      </c>
      <c r="C66" s="28">
        <v>0</v>
      </c>
      <c r="D66" s="28">
        <v>0</v>
      </c>
      <c r="E66" s="28">
        <v>1</v>
      </c>
      <c r="G66" s="28">
        <f>$B$1-SUM($B$3:B65)</f>
        <v>0</v>
      </c>
      <c r="H66" s="31">
        <f t="shared" si="2"/>
        <v>0</v>
      </c>
      <c r="I66" s="28">
        <f>$C$1-SUM($C$3:C66)</f>
        <v>0</v>
      </c>
      <c r="J66" s="32">
        <f t="shared" si="3"/>
        <v>0</v>
      </c>
      <c r="K66" s="33">
        <f>SUM(D$3:D66)</f>
        <v>112</v>
      </c>
      <c r="L66" s="32">
        <f t="shared" si="4"/>
        <v>1</v>
      </c>
      <c r="M66" s="33">
        <f>SUM($E$3:E66)</f>
        <v>109</v>
      </c>
      <c r="N66" s="32">
        <f t="shared" si="5"/>
        <v>1</v>
      </c>
      <c r="O66" s="13"/>
      <c r="P66" s="14">
        <f t="shared" si="6"/>
        <v>1</v>
      </c>
      <c r="Q66" s="14">
        <f t="shared" si="7"/>
        <v>0</v>
      </c>
      <c r="S66" s="15">
        <f t="shared" si="8"/>
        <v>0</v>
      </c>
      <c r="T66" s="35">
        <f t="shared" si="9"/>
        <v>0</v>
      </c>
      <c r="U66" s="35">
        <f t="shared" si="10"/>
        <v>0</v>
      </c>
    </row>
  </sheetData>
  <sortState xmlns:xlrd2="http://schemas.microsoft.com/office/spreadsheetml/2017/richdata2" ref="A4:A118">
    <sortCondition ref="A4:A118"/>
  </sortState>
  <conditionalFormatting sqref="T3:T66">
    <cfRule type="top10" dxfId="2" priority="7" rank="1"/>
  </conditionalFormatting>
  <conditionalFormatting sqref="U3:U66">
    <cfRule type="top10" dxfId="1" priority="3" rank="1"/>
  </conditionalFormatting>
  <conditionalFormatting sqref="S3:S66">
    <cfRule type="top10" dxfId="0" priority="1" rank="1"/>
  </conditionalFormatting>
  <pageMargins left="0.7" right="0.7" top="0.78740157499999996" bottom="0.78740157499999996" header="0.3" footer="0.3"/>
  <ignoredErrors>
    <ignoredError sqref="I4:I65 G5:G66 K4:K66 M4:M66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Diagramme</vt:lpstr>
      </vt:variant>
      <vt:variant>
        <vt:i4>3</vt:i4>
      </vt:variant>
    </vt:vector>
  </HeadingPairs>
  <TitlesOfParts>
    <vt:vector size="5" baseType="lpstr">
      <vt:lpstr>1-Frequencies</vt:lpstr>
      <vt:lpstr>2-Data</vt:lpstr>
      <vt:lpstr>3-Graph van Westendorp</vt:lpstr>
      <vt:lpstr>4-Graph "Price OK"</vt:lpstr>
      <vt:lpstr>5-Graph Financials</vt:lpstr>
    </vt:vector>
  </TitlesOfParts>
  <Company>ZHAW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Müller Steffen (muef)</dc:creator>
  <cp:lastModifiedBy>Steffen Mueller</cp:lastModifiedBy>
  <dcterms:created xsi:type="dcterms:W3CDTF">2018-08-24T12:38:04Z</dcterms:created>
  <dcterms:modified xsi:type="dcterms:W3CDTF">2021-03-03T08:29:13Z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bb7c8b-3fd4-4dea-b697-0f2931e84efa_Enabled">
    <vt:lpwstr>true</vt:lpwstr>
  </property>
  <property fmtid="{D5CDD505-2E9C-101B-9397-08002B2CF9AE}" pid="3" name="MSIP_Label_29bb7c8b-3fd4-4dea-b697-0f2931e84efa_SetDate">
    <vt:lpwstr>2021-03-03T08:28:54Z</vt:lpwstr>
  </property>
  <property fmtid="{D5CDD505-2E9C-101B-9397-08002B2CF9AE}" pid="4" name="MSIP_Label_29bb7c8b-3fd4-4dea-b697-0f2931e84efa_Method">
    <vt:lpwstr>Privileged</vt:lpwstr>
  </property>
  <property fmtid="{D5CDD505-2E9C-101B-9397-08002B2CF9AE}" pid="5" name="MSIP_Label_29bb7c8b-3fd4-4dea-b697-0f2931e84efa_Name">
    <vt:lpwstr>29bb7c8b-3fd4-4dea-b697-0f2931e84efa</vt:lpwstr>
  </property>
  <property fmtid="{D5CDD505-2E9C-101B-9397-08002B2CF9AE}" pid="6" name="MSIP_Label_29bb7c8b-3fd4-4dea-b697-0f2931e84efa_SiteId">
    <vt:lpwstr>5d1a9f9d-201f-4a10-b983-451cf65cbc1e</vt:lpwstr>
  </property>
  <property fmtid="{D5CDD505-2E9C-101B-9397-08002B2CF9AE}" pid="7" name="MSIP_Label_29bb7c8b-3fd4-4dea-b697-0f2931e84efa_ActionId">
    <vt:lpwstr>f12dd69c-f48c-4845-85eb-192a09d2dde7</vt:lpwstr>
  </property>
  <property fmtid="{D5CDD505-2E9C-101B-9397-08002B2CF9AE}" pid="8" name="MSIP_Label_29bb7c8b-3fd4-4dea-b697-0f2931e84efa_ContentBits">
    <vt:lpwstr>0</vt:lpwstr>
  </property>
</Properties>
</file>